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MANE\Desktop\Excel Supply Chain\"/>
    </mc:Choice>
  </mc:AlternateContent>
  <xr:revisionPtr revIDLastSave="0" documentId="13_ncr:1_{4079C7FB-3BC5-4F59-A6A7-6E6661688088}" xr6:coauthVersionLast="47" xr6:coauthVersionMax="47" xr10:uidLastSave="{00000000-0000-0000-0000-000000000000}"/>
  <bookViews>
    <workbookView xWindow="-120" yWindow="-120" windowWidth="20730" windowHeight="11160" xr2:uid="{0C665651-D27F-4FDE-AFDD-C2B5D0EC863C}"/>
  </bookViews>
  <sheets>
    <sheet name="EDA_01_PERFORMANCE_SKU" sheetId="5" r:id="rId1"/>
  </sheets>
  <definedNames>
    <definedName name="DonnéesExternes_2" localSheetId="0" hidden="1">EDA_01_PERFORMANCE_SKU!$A$1:$E$51</definedName>
  </definedNames>
  <calcPr calcId="191029"/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G35" i="5"/>
  <c r="F35" i="5"/>
  <c r="L35" i="5" s="1"/>
  <c r="G12" i="5"/>
  <c r="G26" i="5"/>
  <c r="G10" i="5"/>
  <c r="G39" i="5"/>
  <c r="G19" i="5"/>
  <c r="G37" i="5"/>
  <c r="G15" i="5"/>
  <c r="G38" i="5"/>
  <c r="G14" i="5"/>
  <c r="G4" i="5"/>
  <c r="G40" i="5"/>
  <c r="G16" i="5"/>
  <c r="G49" i="5"/>
  <c r="G17" i="5"/>
  <c r="G25" i="5"/>
  <c r="G13" i="5"/>
  <c r="G29" i="5"/>
  <c r="G24" i="5"/>
  <c r="G11" i="5"/>
  <c r="G31" i="5"/>
  <c r="G7" i="5"/>
  <c r="G18" i="5"/>
  <c r="G41" i="5"/>
  <c r="G48" i="5"/>
  <c r="G33" i="5"/>
  <c r="G27" i="5"/>
  <c r="G42" i="5"/>
  <c r="G20" i="5"/>
  <c r="G34" i="5"/>
  <c r="G6" i="5"/>
  <c r="G22" i="5"/>
  <c r="G23" i="5"/>
  <c r="G50" i="5"/>
  <c r="G30" i="5"/>
  <c r="G36" i="5"/>
  <c r="G9" i="5"/>
  <c r="G2" i="5"/>
  <c r="G21" i="5"/>
  <c r="G3" i="5"/>
  <c r="G47" i="5"/>
  <c r="G45" i="5"/>
  <c r="G28" i="5"/>
  <c r="G51" i="5"/>
  <c r="G43" i="5"/>
  <c r="G8" i="5"/>
  <c r="G46" i="5"/>
  <c r="G5" i="5"/>
  <c r="G44" i="5"/>
  <c r="G32" i="5"/>
  <c r="F12" i="5"/>
  <c r="L12" i="5" s="1"/>
  <c r="F26" i="5"/>
  <c r="L26" i="5" s="1"/>
  <c r="F10" i="5"/>
  <c r="L10" i="5" s="1"/>
  <c r="F39" i="5"/>
  <c r="L39" i="5" s="1"/>
  <c r="F19" i="5"/>
  <c r="L19" i="5" s="1"/>
  <c r="F37" i="5"/>
  <c r="L37" i="5" s="1"/>
  <c r="F15" i="5"/>
  <c r="L15" i="5" s="1"/>
  <c r="F38" i="5"/>
  <c r="L38" i="5" s="1"/>
  <c r="F14" i="5"/>
  <c r="L14" i="5" s="1"/>
  <c r="F4" i="5"/>
  <c r="L4" i="5" s="1"/>
  <c r="F40" i="5"/>
  <c r="L40" i="5" s="1"/>
  <c r="F16" i="5"/>
  <c r="L16" i="5" s="1"/>
  <c r="F49" i="5"/>
  <c r="L49" i="5" s="1"/>
  <c r="F17" i="5"/>
  <c r="L17" i="5" s="1"/>
  <c r="F25" i="5"/>
  <c r="L25" i="5" s="1"/>
  <c r="F13" i="5"/>
  <c r="L13" i="5" s="1"/>
  <c r="F29" i="5"/>
  <c r="L29" i="5" s="1"/>
  <c r="F24" i="5"/>
  <c r="L24" i="5" s="1"/>
  <c r="F11" i="5"/>
  <c r="L11" i="5" s="1"/>
  <c r="F31" i="5"/>
  <c r="L31" i="5" s="1"/>
  <c r="F7" i="5"/>
  <c r="L7" i="5" s="1"/>
  <c r="F18" i="5"/>
  <c r="L18" i="5" s="1"/>
  <c r="F41" i="5"/>
  <c r="L41" i="5" s="1"/>
  <c r="F48" i="5"/>
  <c r="L48" i="5" s="1"/>
  <c r="F33" i="5"/>
  <c r="L33" i="5" s="1"/>
  <c r="F27" i="5"/>
  <c r="L27" i="5" s="1"/>
  <c r="F42" i="5"/>
  <c r="L42" i="5" s="1"/>
  <c r="F20" i="5"/>
  <c r="L20" i="5" s="1"/>
  <c r="F34" i="5"/>
  <c r="L34" i="5" s="1"/>
  <c r="F6" i="5"/>
  <c r="L6" i="5" s="1"/>
  <c r="F22" i="5"/>
  <c r="L22" i="5" s="1"/>
  <c r="F23" i="5"/>
  <c r="L23" i="5" s="1"/>
  <c r="F50" i="5"/>
  <c r="L50" i="5" s="1"/>
  <c r="F30" i="5"/>
  <c r="L30" i="5" s="1"/>
  <c r="F36" i="5"/>
  <c r="L36" i="5" s="1"/>
  <c r="F9" i="5"/>
  <c r="L9" i="5" s="1"/>
  <c r="F2" i="5"/>
  <c r="L2" i="5" s="1"/>
  <c r="F21" i="5"/>
  <c r="L21" i="5" s="1"/>
  <c r="F3" i="5"/>
  <c r="L3" i="5" s="1"/>
  <c r="F47" i="5"/>
  <c r="L47" i="5" s="1"/>
  <c r="F45" i="5"/>
  <c r="L45" i="5" s="1"/>
  <c r="F28" i="5"/>
  <c r="L28" i="5" s="1"/>
  <c r="F51" i="5"/>
  <c r="L51" i="5" s="1"/>
  <c r="F43" i="5"/>
  <c r="L43" i="5" s="1"/>
  <c r="F8" i="5"/>
  <c r="L8" i="5" s="1"/>
  <c r="F46" i="5"/>
  <c r="L46" i="5" s="1"/>
  <c r="F5" i="5"/>
  <c r="L5" i="5" s="1"/>
  <c r="F44" i="5"/>
  <c r="L44" i="5" s="1"/>
  <c r="F32" i="5"/>
  <c r="L32" i="5" s="1"/>
  <c r="R3" i="5" l="1"/>
  <c r="R2" i="5"/>
  <c r="R5" i="5"/>
  <c r="R4" i="5"/>
  <c r="H2" i="5"/>
  <c r="I2" i="5" s="1"/>
  <c r="J2" i="5" s="1"/>
  <c r="H35" i="5"/>
  <c r="I35" i="5" s="1"/>
  <c r="J35" i="5" s="1"/>
  <c r="H32" i="5"/>
  <c r="I32" i="5" s="1"/>
  <c r="J32" i="5" s="1"/>
  <c r="H8" i="5"/>
  <c r="I8" i="5" s="1"/>
  <c r="J8" i="5" s="1"/>
  <c r="H44" i="5"/>
  <c r="I44" i="5" s="1"/>
  <c r="J44" i="5" s="1"/>
  <c r="H43" i="5"/>
  <c r="I43" i="5" s="1"/>
  <c r="J43" i="5" s="1"/>
  <c r="H47" i="5"/>
  <c r="I47" i="5" s="1"/>
  <c r="J47" i="5" s="1"/>
  <c r="H9" i="5"/>
  <c r="I9" i="5" s="1"/>
  <c r="J9" i="5" s="1"/>
  <c r="H23" i="5"/>
  <c r="I23" i="5" s="1"/>
  <c r="J23" i="5" s="1"/>
  <c r="H20" i="5"/>
  <c r="I20" i="5" s="1"/>
  <c r="J20" i="5" s="1"/>
  <c r="H48" i="5"/>
  <c r="I48" i="5" s="1"/>
  <c r="J48" i="5" s="1"/>
  <c r="H31" i="5"/>
  <c r="I31" i="5" s="1"/>
  <c r="J31" i="5" s="1"/>
  <c r="H13" i="5"/>
  <c r="I13" i="5" s="1"/>
  <c r="J13" i="5" s="1"/>
  <c r="H16" i="5"/>
  <c r="I16" i="5" s="1"/>
  <c r="J16" i="5" s="1"/>
  <c r="H38" i="5"/>
  <c r="I38" i="5" s="1"/>
  <c r="J38" i="5" s="1"/>
  <c r="H39" i="5"/>
  <c r="I39" i="5" s="1"/>
  <c r="J39" i="5" s="1"/>
  <c r="H45" i="5"/>
  <c r="I45" i="5" s="1"/>
  <c r="J45" i="5" s="1"/>
  <c r="H50" i="5"/>
  <c r="I50" i="5" s="1"/>
  <c r="J50" i="5" s="1"/>
  <c r="H33" i="5"/>
  <c r="I33" i="5" s="1"/>
  <c r="J33" i="5" s="1"/>
  <c r="H7" i="5"/>
  <c r="I7" i="5" s="1"/>
  <c r="J7" i="5" s="1"/>
  <c r="H49" i="5"/>
  <c r="I49" i="5" s="1"/>
  <c r="J49" i="5" s="1"/>
  <c r="H14" i="5"/>
  <c r="I14" i="5" s="1"/>
  <c r="J14" i="5" s="1"/>
  <c r="H19" i="5"/>
  <c r="I19" i="5" s="1"/>
  <c r="J19" i="5" s="1"/>
  <c r="H12" i="5"/>
  <c r="I12" i="5" s="1"/>
  <c r="J12" i="5" s="1"/>
  <c r="H5" i="5"/>
  <c r="I5" i="5" s="1"/>
  <c r="J5" i="5" s="1"/>
  <c r="H51" i="5"/>
  <c r="I51" i="5" s="1"/>
  <c r="J51" i="5" s="1"/>
  <c r="H3" i="5"/>
  <c r="I3" i="5" s="1"/>
  <c r="J3" i="5" s="1"/>
  <c r="H36" i="5"/>
  <c r="I36" i="5" s="1"/>
  <c r="J36" i="5" s="1"/>
  <c r="H22" i="5"/>
  <c r="I22" i="5" s="1"/>
  <c r="J22" i="5" s="1"/>
  <c r="H42" i="5"/>
  <c r="I42" i="5" s="1"/>
  <c r="J42" i="5" s="1"/>
  <c r="H41" i="5"/>
  <c r="I41" i="5" s="1"/>
  <c r="J41" i="5" s="1"/>
  <c r="H11" i="5"/>
  <c r="I11" i="5" s="1"/>
  <c r="J11" i="5" s="1"/>
  <c r="H25" i="5"/>
  <c r="I25" i="5" s="1"/>
  <c r="J25" i="5" s="1"/>
  <c r="H40" i="5"/>
  <c r="I40" i="5" s="1"/>
  <c r="J40" i="5" s="1"/>
  <c r="H15" i="5"/>
  <c r="I15" i="5" s="1"/>
  <c r="J15" i="5" s="1"/>
  <c r="H10" i="5"/>
  <c r="I10" i="5" s="1"/>
  <c r="J10" i="5" s="1"/>
  <c r="H34" i="5"/>
  <c r="I34" i="5" s="1"/>
  <c r="J34" i="5" s="1"/>
  <c r="H29" i="5"/>
  <c r="I29" i="5" s="1"/>
  <c r="J29" i="5" s="1"/>
  <c r="H46" i="5"/>
  <c r="I46" i="5" s="1"/>
  <c r="J46" i="5" s="1"/>
  <c r="H28" i="5"/>
  <c r="I28" i="5" s="1"/>
  <c r="J28" i="5" s="1"/>
  <c r="H21" i="5"/>
  <c r="I21" i="5" s="1"/>
  <c r="J21" i="5" s="1"/>
  <c r="H30" i="5"/>
  <c r="I30" i="5" s="1"/>
  <c r="J30" i="5" s="1"/>
  <c r="H6" i="5"/>
  <c r="I6" i="5" s="1"/>
  <c r="J6" i="5" s="1"/>
  <c r="H27" i="5"/>
  <c r="I27" i="5" s="1"/>
  <c r="J27" i="5" s="1"/>
  <c r="H18" i="5"/>
  <c r="I18" i="5" s="1"/>
  <c r="J18" i="5" s="1"/>
  <c r="H24" i="5"/>
  <c r="I24" i="5" s="1"/>
  <c r="J24" i="5" s="1"/>
  <c r="H17" i="5"/>
  <c r="I17" i="5" s="1"/>
  <c r="J17" i="5" s="1"/>
  <c r="H4" i="5"/>
  <c r="I4" i="5" s="1"/>
  <c r="J4" i="5" s="1"/>
  <c r="H37" i="5"/>
  <c r="I37" i="5" s="1"/>
  <c r="J37" i="5" s="1"/>
  <c r="H26" i="5"/>
  <c r="I26" i="5" s="1"/>
  <c r="J26" i="5" l="1"/>
  <c r="O2" i="5"/>
  <c r="O3" i="5"/>
  <c r="O4" i="5"/>
  <c r="O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FDAD8-DFC0-41CA-8910-A6197A08AD65}" keepAlive="1" name="Requête - AUDIT_01_QUALITE" description="Connexion à la requête « AUDIT_01_QUALITE » dans le classeur." type="5" refreshedVersion="0" background="1">
    <dbPr connection="Provider=Microsoft.Mashup.OleDb.1;Data Source=$Workbook$;Location=AUDIT_01_QUALITE;Extended Properties=&quot;&quot;" command="SELECT * FROM [AUDIT_01_QUALITE]"/>
  </connection>
  <connection id="2" xr16:uid="{6B79D859-9B9F-4720-9074-0505728C283B}" keepAlive="1" name="Requête - AUDIT_02_DATES" description="Connexion à la requête « AUDIT_02_DATES » dans le classeur." type="5" refreshedVersion="0" background="1">
    <dbPr connection="Provider=Microsoft.Mashup.OleDb.1;Data Source=$Workbook$;Location=AUDIT_02_DATES;Extended Properties=&quot;&quot;" command="SELECT * FROM [AUDIT_02_DATES]"/>
  </connection>
  <connection id="3" xr16:uid="{F7F26B28-5994-45D4-BFCC-786C58E3FAC9}" keepAlive="1" name="Requête - AUDIT_03_ABERRANTES" description="Connexion à la requête « AUDIT_03_ABERRANTES » dans le classeur." type="5" refreshedVersion="0" background="1" saveData="1">
    <dbPr connection="Provider=Microsoft.Mashup.OleDb.1;Data Source=$Workbook$;Location=AUDIT_03_ABERRANTES;Extended Properties=&quot;&quot;" command="SELECT * FROM [AUDIT_03_ABERRANTES]"/>
  </connection>
  <connection id="4" xr16:uid="{AC3617F6-1B3E-4950-B978-808F46E8BF45}" keepAlive="1" name="Requête - AUDIT_supply_chain" description="Connexion à la requête « AUDIT_supply_chain » dans le classeur." type="5" refreshedVersion="0" background="1">
    <dbPr connection="Provider=Microsoft.Mashup.OleDb.1;Data Source=$Workbook$;Location=AUDIT_supply_chain;Extended Properties=&quot;&quot;" command="SELECT * FROM [AUDIT_supply_chain]"/>
  </connection>
  <connection id="5" xr16:uid="{457237C2-A0DC-4ADF-BADA-45C240677C16}" keepAlive="1" name="Requête - EDA_01_PERFORMANCE_SKU" description="Connexion à la requête « EDA_01_PERFORMANCE_SKU » dans le classeur." type="5" refreshedVersion="8" background="1" saveData="1">
    <dbPr connection="Provider=Microsoft.Mashup.OleDb.1;Data Source=$Workbook$;Location=EDA_01_PERFORMANCE_SKU;Extended Properties=&quot;&quot;" command="SELECT * FROM [EDA_01_PERFORMANCE_SKU]"/>
  </connection>
  <connection id="6" xr16:uid="{3C6F0E4F-E6DB-4EBA-9AA2-90A9021A982C}" keepAlive="1" name="Requête - supply_chain_clean_202609021453 (2)" description="Connexion à la requête « supply_chain_clean_202609021453 (2) » dans le classeur." type="5" refreshedVersion="8" background="1" saveData="1">
    <dbPr connection="Provider=Microsoft.Mashup.OleDb.1;Data Source=$Workbook$;Location=&quot;supply_chain_clean_202609021453 (2)&quot;;Extended Properties=&quot;&quot;" command="SELECT * FROM [supply_chain_clean_202609021453 (2)]"/>
  </connection>
</connections>
</file>

<file path=xl/sharedStrings.xml><?xml version="1.0" encoding="utf-8"?>
<sst xmlns="http://schemas.openxmlformats.org/spreadsheetml/2006/main" count="71" uniqueCount="71">
  <si>
    <t>SKU_ID</t>
  </si>
  <si>
    <t>Units_Sold</t>
  </si>
  <si>
    <t>SKU_1</t>
  </si>
  <si>
    <t>SKU_2</t>
  </si>
  <si>
    <t>SKU_3</t>
  </si>
  <si>
    <t>SKU_4</t>
  </si>
  <si>
    <t>SKU_5</t>
  </si>
  <si>
    <t>SKU_6</t>
  </si>
  <si>
    <t>SKU_7</t>
  </si>
  <si>
    <t>SKU_8</t>
  </si>
  <si>
    <t>SKU_9</t>
  </si>
  <si>
    <t>SKU_10</t>
  </si>
  <si>
    <t>SKU_11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</si>
  <si>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</si>
  <si>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</si>
  <si>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</si>
  <si>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</si>
  <si>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</si>
  <si>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</si>
  <si>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</si>
  <si>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</si>
  <si>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SKU_20</t>
  </si>
  <si>
    <t>SKU_21</t>
  </si>
  <si>
    <t>SKU_22</t>
  </si>
  <si>
    <t>SKU_23</t>
  </si>
  <si>
    <t>SKU_24</t>
  </si>
  <si>
    <t>SKU_25</t>
  </si>
  <si>
    <t>SKU_26</t>
  </si>
  <si>
    <t>SKU_27</t>
  </si>
  <si>
    <t>SKU_28</t>
  </si>
  <si>
    <t>SKU_29</t>
  </si>
  <si>
    <t>SKU_30</t>
  </si>
  <si>
    <t>SKU_31</t>
  </si>
  <si>
    <t>SKU_32</t>
  </si>
  <si>
    <t>SKU_33</t>
  </si>
  <si>
    <t>SKU_34</t>
  </si>
  <si>
    <t>SKU_35</t>
  </si>
  <si>
    <t>SKU_36</t>
  </si>
  <si>
    <t>SKU_37</t>
  </si>
  <si>
    <t>SKU_38</t>
  </si>
  <si>
    <t>SKU_39</t>
  </si>
  <si>
    <t>SKU_40</t>
  </si>
  <si>
    <t>SKU_41</t>
  </si>
  <si>
    <t>SKU_42</t>
  </si>
  <si>
    <t>SKU_43</t>
  </si>
  <si>
    <t>SKU_44</t>
  </si>
  <si>
    <t>SKU_45</t>
  </si>
  <si>
    <t>SKU_46</t>
  </si>
  <si>
    <t>SKU_47</t>
  </si>
  <si>
    <t>SKU_48</t>
  </si>
  <si>
    <t>SKU_49</t>
  </si>
  <si>
    <t>SKU_50</t>
  </si>
  <si>
    <t>CA</t>
  </si>
  <si>
    <t>COGS</t>
  </si>
  <si>
    <t>Marge_Brute</t>
  </si>
  <si>
    <t>Rang_CA</t>
  </si>
  <si>
    <t>Part_CA</t>
  </si>
  <si>
    <t>CA_Cumule</t>
  </si>
  <si>
    <t>%_CA_Cumule</t>
  </si>
  <si>
    <t>Seuil_ABC</t>
  </si>
  <si>
    <t>Seuil CA</t>
  </si>
  <si>
    <t>Nb SKU nécessaires</t>
  </si>
  <si>
    <t>Rang_Marge</t>
  </si>
  <si>
    <t>Ecart_Rang</t>
  </si>
  <si>
    <t>Indicateur</t>
  </si>
  <si>
    <t>Valeur</t>
  </si>
  <si>
    <t>Ecart moyen</t>
  </si>
  <si>
    <t>Ecart maximum</t>
  </si>
  <si>
    <t>SKU ecart &lt;= 5</t>
  </si>
  <si>
    <t>SKU ecart &gt;= 5</t>
  </si>
  <si>
    <r>
      <rPr>
        <b/>
        <sz val="11"/>
        <color theme="1"/>
        <rFont val="Times New Roman"/>
        <family val="1"/>
      </rPr>
      <t>Conclusion</t>
    </r>
    <r>
      <rPr>
        <sz val="11"/>
        <color theme="1"/>
        <rFont val="Times New Roman"/>
        <family val="2"/>
      </rPr>
      <t xml:space="preserve"> : Le chiffre d'affaires est réparti sur une grande partie du portefeuille : 38 SKU sur 50 sont nécessaires pour atteindre 80 % du CA. Les principaux contributeurs au CA sont également bien positionnés en marge brute. Toutefois, 36 % des SKU présentent un écart supérieur à 5 rangs entre leur classement CA et leur classement par marge, avec un écart maximal de 26 rangs.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</si>
</sst>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0" fontId="16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9" fillId="33" borderId="0" xfId="0" applyFont="1" applyFill="1" applyAlignment="1">
      <alignment horizontal="left"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4">
    <dxf>
      <numFmt numFmtId="0" formatCode="General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D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 sz="1100" b="1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Pareto du chiffre d'affaires par SKU</a:t>
            </a:r>
            <a:endParaRPr lang="fr-FR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EDA_01_PERFORMANCE_SKU!$C$1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EDA_01_PERFORMANCE_SKU!$A$2:$A$51</c:f>
              <c:strCache>
                <c:ptCount val="50"/>
                <c:pt idx="0">
                  <c:v>SKU_38</c:v>
                </c:pt>
                <c:pt idx="1">
                  <c:v>SKU_40</c:v>
                </c:pt>
                <c:pt idx="2">
                  <c:v>SKU_11</c:v>
                </c:pt>
                <c:pt idx="3">
                  <c:v>SKU_48</c:v>
                </c:pt>
                <c:pt idx="4">
                  <c:v>SKU_31</c:v>
                </c:pt>
                <c:pt idx="5">
                  <c:v>SKU_22</c:v>
                </c:pt>
                <c:pt idx="6">
                  <c:v>SKU_46</c:v>
                </c:pt>
                <c:pt idx="7">
                  <c:v>SKU_37</c:v>
                </c:pt>
                <c:pt idx="8">
                  <c:v>SKU_4</c:v>
                </c:pt>
                <c:pt idx="9">
                  <c:v>SKU_20</c:v>
                </c:pt>
                <c:pt idx="10">
                  <c:v>SKU_2</c:v>
                </c:pt>
                <c:pt idx="11">
                  <c:v>SKU_17</c:v>
                </c:pt>
                <c:pt idx="12">
                  <c:v>SKU_10</c:v>
                </c:pt>
                <c:pt idx="13">
                  <c:v>SKU_8</c:v>
                </c:pt>
                <c:pt idx="14">
                  <c:v>SKU_13</c:v>
                </c:pt>
                <c:pt idx="15">
                  <c:v>SKU_15</c:v>
                </c:pt>
                <c:pt idx="16">
                  <c:v>SKU_23</c:v>
                </c:pt>
                <c:pt idx="17">
                  <c:v>SKU_6</c:v>
                </c:pt>
                <c:pt idx="18">
                  <c:v>SKU_29</c:v>
                </c:pt>
                <c:pt idx="19">
                  <c:v>SKU_39</c:v>
                </c:pt>
                <c:pt idx="20">
                  <c:v>SKU_32</c:v>
                </c:pt>
                <c:pt idx="21">
                  <c:v>SKU_33</c:v>
                </c:pt>
                <c:pt idx="22">
                  <c:v>SKU_19</c:v>
                </c:pt>
                <c:pt idx="23">
                  <c:v>SKU_16</c:v>
                </c:pt>
                <c:pt idx="24">
                  <c:v>SKU_3</c:v>
                </c:pt>
                <c:pt idx="25">
                  <c:v>SKU_27</c:v>
                </c:pt>
                <c:pt idx="26">
                  <c:v>SKU_43</c:v>
                </c:pt>
                <c:pt idx="27">
                  <c:v>SKU_18</c:v>
                </c:pt>
                <c:pt idx="28">
                  <c:v>SKU_35</c:v>
                </c:pt>
                <c:pt idx="29">
                  <c:v>SKU_21</c:v>
                </c:pt>
                <c:pt idx="30">
                  <c:v>SKU_50</c:v>
                </c:pt>
                <c:pt idx="31">
                  <c:v>SKU_26</c:v>
                </c:pt>
                <c:pt idx="32">
                  <c:v>SKU_30</c:v>
                </c:pt>
                <c:pt idx="33">
                  <c:v>SKU_1</c:v>
                </c:pt>
                <c:pt idx="34">
                  <c:v>SKU_36</c:v>
                </c:pt>
                <c:pt idx="35">
                  <c:v>SKU_7</c:v>
                </c:pt>
                <c:pt idx="36">
                  <c:v>SKU_9</c:v>
                </c:pt>
                <c:pt idx="37">
                  <c:v>SKU_5</c:v>
                </c:pt>
                <c:pt idx="38">
                  <c:v>SKU_12</c:v>
                </c:pt>
                <c:pt idx="39">
                  <c:v>SKU_24</c:v>
                </c:pt>
                <c:pt idx="40">
                  <c:v>SKU_28</c:v>
                </c:pt>
                <c:pt idx="41">
                  <c:v>SKU_45</c:v>
                </c:pt>
                <c:pt idx="42">
                  <c:v>SKU_49</c:v>
                </c:pt>
                <c:pt idx="43">
                  <c:v>SKU_42</c:v>
                </c:pt>
                <c:pt idx="44">
                  <c:v>SKU_47</c:v>
                </c:pt>
                <c:pt idx="45">
                  <c:v>SKU_41</c:v>
                </c:pt>
                <c:pt idx="46">
                  <c:v>SKU_25</c:v>
                </c:pt>
                <c:pt idx="47">
                  <c:v>SKU_14</c:v>
                </c:pt>
                <c:pt idx="48">
                  <c:v>SKU_34</c:v>
                </c:pt>
                <c:pt idx="49">
                  <c:v>SKU_44</c:v>
                </c:pt>
              </c:strCache>
            </c:strRef>
          </c:cat>
          <c:val>
            <c:numRef>
              <c:f>EDA_01_PERFORMANCE_SKU!$C$2:$C$51</c:f>
              <c:numCache>
                <c:formatCode>General</c:formatCode>
                <c:ptCount val="50"/>
                <c:pt idx="0">
                  <c:v>1057641.5100000012</c:v>
                </c:pt>
                <c:pt idx="1">
                  <c:v>923848.6199999986</c:v>
                </c:pt>
                <c:pt idx="2">
                  <c:v>888870.06999999867</c:v>
                </c:pt>
                <c:pt idx="3">
                  <c:v>846494.21999999916</c:v>
                </c:pt>
                <c:pt idx="4">
                  <c:v>827241.09000000055</c:v>
                </c:pt>
                <c:pt idx="5">
                  <c:v>794945.99000000011</c:v>
                </c:pt>
                <c:pt idx="6">
                  <c:v>789467.77999999945</c:v>
                </c:pt>
                <c:pt idx="7">
                  <c:v>772557.650000002</c:v>
                </c:pt>
                <c:pt idx="8">
                  <c:v>770679.65000000084</c:v>
                </c:pt>
                <c:pt idx="9">
                  <c:v>760349.89999999793</c:v>
                </c:pt>
                <c:pt idx="10">
                  <c:v>746765.45999999892</c:v>
                </c:pt>
                <c:pt idx="11">
                  <c:v>731422.16000000073</c:v>
                </c:pt>
                <c:pt idx="12">
                  <c:v>725581.39000000083</c:v>
                </c:pt>
                <c:pt idx="13">
                  <c:v>722617.88000000047</c:v>
                </c:pt>
                <c:pt idx="14">
                  <c:v>720991.93999999913</c:v>
                </c:pt>
                <c:pt idx="15">
                  <c:v>719249.72999999928</c:v>
                </c:pt>
                <c:pt idx="16">
                  <c:v>712132.90000000107</c:v>
                </c:pt>
                <c:pt idx="17">
                  <c:v>698516.99999999884</c:v>
                </c:pt>
                <c:pt idx="18">
                  <c:v>695975.2500000007</c:v>
                </c:pt>
                <c:pt idx="19">
                  <c:v>682971.10000000161</c:v>
                </c:pt>
                <c:pt idx="20">
                  <c:v>673421.18000000028</c:v>
                </c:pt>
                <c:pt idx="21">
                  <c:v>673070.84</c:v>
                </c:pt>
                <c:pt idx="22">
                  <c:v>672297.63</c:v>
                </c:pt>
                <c:pt idx="23">
                  <c:v>671339.79999999888</c:v>
                </c:pt>
                <c:pt idx="24">
                  <c:v>668701.0900000002</c:v>
                </c:pt>
                <c:pt idx="25">
                  <c:v>665868.12999999966</c:v>
                </c:pt>
                <c:pt idx="26">
                  <c:v>646114.54999999958</c:v>
                </c:pt>
                <c:pt idx="27">
                  <c:v>644766.5299999998</c:v>
                </c:pt>
                <c:pt idx="28">
                  <c:v>643114.31000000029</c:v>
                </c:pt>
                <c:pt idx="29">
                  <c:v>636619.59999999916</c:v>
                </c:pt>
                <c:pt idx="30">
                  <c:v>634011.00000000081</c:v>
                </c:pt>
                <c:pt idx="31">
                  <c:v>623326.53999999946</c:v>
                </c:pt>
                <c:pt idx="32">
                  <c:v>617739.2900000005</c:v>
                </c:pt>
                <c:pt idx="33">
                  <c:v>617298.4</c:v>
                </c:pt>
                <c:pt idx="34">
                  <c:v>604862.62999999989</c:v>
                </c:pt>
                <c:pt idx="35">
                  <c:v>602905.85000000126</c:v>
                </c:pt>
                <c:pt idx="36">
                  <c:v>593421.6599999991</c:v>
                </c:pt>
                <c:pt idx="37">
                  <c:v>590291.53000000038</c:v>
                </c:pt>
                <c:pt idx="38">
                  <c:v>582012.28000000026</c:v>
                </c:pt>
                <c:pt idx="39">
                  <c:v>577503.45000000077</c:v>
                </c:pt>
                <c:pt idx="40">
                  <c:v>577000.84000000032</c:v>
                </c:pt>
                <c:pt idx="41">
                  <c:v>576849.88</c:v>
                </c:pt>
                <c:pt idx="42">
                  <c:v>553957.45000000077</c:v>
                </c:pt>
                <c:pt idx="43">
                  <c:v>544829.42999999924</c:v>
                </c:pt>
                <c:pt idx="44">
                  <c:v>538811.70999999985</c:v>
                </c:pt>
                <c:pt idx="45">
                  <c:v>525021.07999999996</c:v>
                </c:pt>
                <c:pt idx="46">
                  <c:v>504606.7899999987</c:v>
                </c:pt>
                <c:pt idx="47">
                  <c:v>494097.50000000087</c:v>
                </c:pt>
                <c:pt idx="48">
                  <c:v>453535.20999999996</c:v>
                </c:pt>
                <c:pt idx="49">
                  <c:v>430619.75000000012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E-4D15-8DDB-FCF1F506E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627088"/>
        <c:axId val="327623128"/>
      </c:barChart>
      <c:lineChart>
        <c:grouping val="standard"/>
        <c:varyColors val="0"/>
        <c:ser>
          <c:idx val="2"/>
          <c:order val="1"/>
          <c:tx>
            <c:strRef>
              <c:f>EDA_01_PERFORMANCE_SKU!$I$1</c:f>
              <c:strCache>
                <c:ptCount val="1"/>
                <c:pt idx="0">
                  <c:v>%_CA_Cumule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EDA_01_PERFORMANCE_SKU!$A$2:$A$51</c:f>
              <c:strCache>
                <c:ptCount val="50"/>
                <c:pt idx="0">
                  <c:v>SKU_38</c:v>
                </c:pt>
                <c:pt idx="1">
                  <c:v>SKU_40</c:v>
                </c:pt>
                <c:pt idx="2">
                  <c:v>SKU_11</c:v>
                </c:pt>
                <c:pt idx="3">
                  <c:v>SKU_48</c:v>
                </c:pt>
                <c:pt idx="4">
                  <c:v>SKU_31</c:v>
                </c:pt>
                <c:pt idx="5">
                  <c:v>SKU_22</c:v>
                </c:pt>
                <c:pt idx="6">
                  <c:v>SKU_46</c:v>
                </c:pt>
                <c:pt idx="7">
                  <c:v>SKU_37</c:v>
                </c:pt>
                <c:pt idx="8">
                  <c:v>SKU_4</c:v>
                </c:pt>
                <c:pt idx="9">
                  <c:v>SKU_20</c:v>
                </c:pt>
                <c:pt idx="10">
                  <c:v>SKU_2</c:v>
                </c:pt>
                <c:pt idx="11">
                  <c:v>SKU_17</c:v>
                </c:pt>
                <c:pt idx="12">
                  <c:v>SKU_10</c:v>
                </c:pt>
                <c:pt idx="13">
                  <c:v>SKU_8</c:v>
                </c:pt>
                <c:pt idx="14">
                  <c:v>SKU_13</c:v>
                </c:pt>
                <c:pt idx="15">
                  <c:v>SKU_15</c:v>
                </c:pt>
                <c:pt idx="16">
                  <c:v>SKU_23</c:v>
                </c:pt>
                <c:pt idx="17">
                  <c:v>SKU_6</c:v>
                </c:pt>
                <c:pt idx="18">
                  <c:v>SKU_29</c:v>
                </c:pt>
                <c:pt idx="19">
                  <c:v>SKU_39</c:v>
                </c:pt>
                <c:pt idx="20">
                  <c:v>SKU_32</c:v>
                </c:pt>
                <c:pt idx="21">
                  <c:v>SKU_33</c:v>
                </c:pt>
                <c:pt idx="22">
                  <c:v>SKU_19</c:v>
                </c:pt>
                <c:pt idx="23">
                  <c:v>SKU_16</c:v>
                </c:pt>
                <c:pt idx="24">
                  <c:v>SKU_3</c:v>
                </c:pt>
                <c:pt idx="25">
                  <c:v>SKU_27</c:v>
                </c:pt>
                <c:pt idx="26">
                  <c:v>SKU_43</c:v>
                </c:pt>
                <c:pt idx="27">
                  <c:v>SKU_18</c:v>
                </c:pt>
                <c:pt idx="28">
                  <c:v>SKU_35</c:v>
                </c:pt>
                <c:pt idx="29">
                  <c:v>SKU_21</c:v>
                </c:pt>
                <c:pt idx="30">
                  <c:v>SKU_50</c:v>
                </c:pt>
                <c:pt idx="31">
                  <c:v>SKU_26</c:v>
                </c:pt>
                <c:pt idx="32">
                  <c:v>SKU_30</c:v>
                </c:pt>
                <c:pt idx="33">
                  <c:v>SKU_1</c:v>
                </c:pt>
                <c:pt idx="34">
                  <c:v>SKU_36</c:v>
                </c:pt>
                <c:pt idx="35">
                  <c:v>SKU_7</c:v>
                </c:pt>
                <c:pt idx="36">
                  <c:v>SKU_9</c:v>
                </c:pt>
                <c:pt idx="37">
                  <c:v>SKU_5</c:v>
                </c:pt>
                <c:pt idx="38">
                  <c:v>SKU_12</c:v>
                </c:pt>
                <c:pt idx="39">
                  <c:v>SKU_24</c:v>
                </c:pt>
                <c:pt idx="40">
                  <c:v>SKU_28</c:v>
                </c:pt>
                <c:pt idx="41">
                  <c:v>SKU_45</c:v>
                </c:pt>
                <c:pt idx="42">
                  <c:v>SKU_49</c:v>
                </c:pt>
                <c:pt idx="43">
                  <c:v>SKU_42</c:v>
                </c:pt>
                <c:pt idx="44">
                  <c:v>SKU_47</c:v>
                </c:pt>
                <c:pt idx="45">
                  <c:v>SKU_41</c:v>
                </c:pt>
                <c:pt idx="46">
                  <c:v>SKU_25</c:v>
                </c:pt>
                <c:pt idx="47">
                  <c:v>SKU_14</c:v>
                </c:pt>
                <c:pt idx="48">
                  <c:v>SKU_34</c:v>
                </c:pt>
                <c:pt idx="49">
                  <c:v>SKU_44</c:v>
                </c:pt>
              </c:strCache>
            </c:strRef>
          </c:cat>
          <c:val>
            <c:numRef>
              <c:f>EDA_01_PERFORMANCE_SKU!$I$2:$I$51</c:f>
              <c:numCache>
                <c:formatCode>0.00%</c:formatCode>
                <c:ptCount val="50"/>
                <c:pt idx="0">
                  <c:v>3.1640963322992571E-2</c:v>
                </c:pt>
                <c:pt idx="1">
                  <c:v>5.9279307719495349E-2</c:v>
                </c:pt>
                <c:pt idx="2">
                  <c:v>8.5871215296738385E-2</c:v>
                </c:pt>
                <c:pt idx="3">
                  <c:v>0.11119538451183013</c:v>
                </c:pt>
                <c:pt idx="4">
                  <c:v>0.13594356689733653</c:v>
                </c:pt>
                <c:pt idx="5">
                  <c:v>0.15972559197438743</c:v>
                </c:pt>
                <c:pt idx="6">
                  <c:v>0.18334372802094287</c:v>
                </c:pt>
                <c:pt idx="7">
                  <c:v>0.20645597166628485</c:v>
                </c:pt>
                <c:pt idx="8">
                  <c:v>0.22951203206942344</c:v>
                </c:pt>
                <c:pt idx="9">
                  <c:v>0.25225906220304689</c:v>
                </c:pt>
                <c:pt idx="10">
                  <c:v>0.2745996930380995</c:v>
                </c:pt>
                <c:pt idx="11">
                  <c:v>0.29648130558769015</c:v>
                </c:pt>
                <c:pt idx="12">
                  <c:v>0.31818818256988801</c:v>
                </c:pt>
                <c:pt idx="13">
                  <c:v>0.33980640161805931</c:v>
                </c:pt>
                <c:pt idx="14">
                  <c:v>0.36137597818442646</c:v>
                </c:pt>
                <c:pt idx="15">
                  <c:v>0.3828934338741169</c:v>
                </c:pt>
                <c:pt idx="16">
                  <c:v>0.40419797870991508</c:v>
                </c:pt>
                <c:pt idx="17">
                  <c:v>0.42509518307312766</c:v>
                </c:pt>
                <c:pt idx="18">
                  <c:v>0.44591634709775124</c:v>
                </c:pt>
                <c:pt idx="19">
                  <c:v>0.46634847208664648</c:v>
                </c:pt>
                <c:pt idx="20">
                  <c:v>0.48649489661314449</c:v>
                </c:pt>
                <c:pt idx="21">
                  <c:v>0.5066308401827343</c:v>
                </c:pt>
                <c:pt idx="22">
                  <c:v>0.52674365199263085</c:v>
                </c:pt>
                <c:pt idx="23">
                  <c:v>0.54682780885317717</c:v>
                </c:pt>
                <c:pt idx="24">
                  <c:v>0.56683302466844443</c:v>
                </c:pt>
                <c:pt idx="25">
                  <c:v>0.58675348815259754</c:v>
                </c:pt>
                <c:pt idx="26">
                  <c:v>0.60608299308002977</c:v>
                </c:pt>
                <c:pt idx="27">
                  <c:v>0.62537216992750733</c:v>
                </c:pt>
                <c:pt idx="28">
                  <c:v>0.6446119180867883</c:v>
                </c:pt>
                <c:pt idx="29">
                  <c:v>0.66365736706344403</c:v>
                </c:pt>
                <c:pt idx="30">
                  <c:v>0.6826247757815207</c:v>
                </c:pt>
                <c:pt idx="31">
                  <c:v>0.70127254253794069</c:v>
                </c:pt>
                <c:pt idx="32">
                  <c:v>0.71975315816550001</c:v>
                </c:pt>
                <c:pt idx="33">
                  <c:v>0.73822058389441447</c:v>
                </c:pt>
                <c:pt idx="34">
                  <c:v>0.75631597454457788</c:v>
                </c:pt>
                <c:pt idx="35">
                  <c:v>0.77435282512835246</c:v>
                </c:pt>
                <c:pt idx="36">
                  <c:v>0.7921059416632068</c:v>
                </c:pt>
                <c:pt idx="37">
                  <c:v>0.80976541557190695</c:v>
                </c:pt>
                <c:pt idx="38">
                  <c:v>0.82717720305461584</c:v>
                </c:pt>
                <c:pt idx="39">
                  <c:v>0.84445410199209381</c:v>
                </c:pt>
                <c:pt idx="40">
                  <c:v>0.8617159645827327</c:v>
                </c:pt>
                <c:pt idx="41">
                  <c:v>0.87897331097409426</c:v>
                </c:pt>
                <c:pt idx="42">
                  <c:v>0.89554579531044409</c:v>
                </c:pt>
                <c:pt idx="43">
                  <c:v>0.91184520096814847</c:v>
                </c:pt>
                <c:pt idx="44">
                  <c:v>0.92796457732858362</c:v>
                </c:pt>
                <c:pt idx="45">
                  <c:v>0.94367138590125188</c:v>
                </c:pt>
                <c:pt idx="46">
                  <c:v>0.95876746976706284</c:v>
                </c:pt>
                <c:pt idx="47">
                  <c:v>0.97354915214967119</c:v>
                </c:pt>
                <c:pt idx="48">
                  <c:v>0.98711735159117742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E-4D15-8DDB-FCF1F506E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910504"/>
        <c:axId val="407911224"/>
      </c:lineChart>
      <c:catAx>
        <c:axId val="32762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623128"/>
        <c:crosses val="autoZero"/>
        <c:auto val="1"/>
        <c:lblAlgn val="ctr"/>
        <c:lblOffset val="100"/>
        <c:noMultiLvlLbl val="0"/>
      </c:catAx>
      <c:valAx>
        <c:axId val="32762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627088"/>
        <c:crosses val="autoZero"/>
        <c:crossBetween val="between"/>
      </c:valAx>
      <c:valAx>
        <c:axId val="407911224"/>
        <c:scaling>
          <c:orientation val="minMax"/>
          <c:max val="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7910504"/>
        <c:crosses val="max"/>
        <c:crossBetween val="between"/>
      </c:valAx>
      <c:catAx>
        <c:axId val="407910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7911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</xdr:colOff>
      <xdr:row>6</xdr:row>
      <xdr:rowOff>19050</xdr:rowOff>
    </xdr:from>
    <xdr:to>
      <xdr:col>18</xdr:col>
      <xdr:colOff>33337</xdr:colOff>
      <xdr:row>20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3803249-31C8-D60D-152B-F42D9DF70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5" xr16:uid="{DFC065EE-FDBB-4BEC-A053-D47088B0ACD7}" autoFormatId="16" applyNumberFormats="0" applyBorderFormats="0" applyFontFormats="0" applyPatternFormats="0" applyAlignmentFormats="0" applyWidthHeightFormats="0">
  <queryTableRefresh nextId="16" unboundColumnsRight="7">
    <queryTableFields count="12">
      <queryTableField id="1" name="SKU_ID" tableColumnId="1"/>
      <queryTableField id="2" name="Units_Sold" tableColumnId="2"/>
      <queryTableField id="5" name="CA" tableColumnId="5"/>
      <queryTableField id="6" name="COGS" tableColumnId="6"/>
      <queryTableField id="7" name="Marge_Brute" tableColumnId="7"/>
      <queryTableField id="8" dataBound="0" tableColumnId="3"/>
      <queryTableField id="9" dataBound="0" tableColumnId="4"/>
      <queryTableField id="10" dataBound="0" tableColumnId="8"/>
      <queryTableField id="11" dataBound="0" tableColumnId="9"/>
      <queryTableField id="12" dataBound="0" tableColumnId="10"/>
      <queryTableField id="14" dataBound="0" tableColumnId="12"/>
      <queryTableField id="15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91D34A-4086-4BF8-9EBF-35FE38ED810E}" name="EDA_01_PERFORMANCE_SKU" displayName="EDA_01_PERFORMANCE_SKU" ref="A1:L51" tableType="queryTable" totalsRowShown="0">
  <autoFilter ref="A1:L51" xr:uid="{4B91D34A-4086-4BF8-9EBF-35FE38ED810E}"/>
  <tableColumns count="12">
    <tableColumn id="1" xr3:uid="{F4C1FD6A-31AC-4BD3-B4DB-5DEA4506AF5D}" uniqueName="1" name="SKU_ID" queryTableFieldId="1"/>
    <tableColumn id="2" xr3:uid="{2F37DF74-AD99-429C-BECF-D3883E704FC1}" uniqueName="2" name="Units_Sold" queryTableFieldId="2" dataDxfId="13"/>
    <tableColumn id="5" xr3:uid="{DD01F2BB-1DB1-4F3B-8496-684B5358E200}" uniqueName="5" name="CA" queryTableFieldId="5" dataDxfId="12"/>
    <tableColumn id="6" xr3:uid="{AF694583-6B65-47D8-99E1-24B39339244E}" uniqueName="6" name="COGS" queryTableFieldId="6" dataDxfId="11"/>
    <tableColumn id="7" xr3:uid="{52164F9D-5F98-49AE-B6FC-FB02832C15EE}" uniqueName="7" name="Marge_Brute" queryTableFieldId="7" dataDxfId="10"/>
    <tableColumn id="3" xr3:uid="{F27396B1-F7C2-42F2-A8AC-7ED46D9FDA29}" uniqueName="3" name="Rang_CA" queryTableFieldId="8" dataDxfId="9">
      <calculatedColumnFormula>_xlfn.RANK.EQ(EDA_01_PERFORMANCE_SKU[[#This Row],[CA]],EDA_01_PERFORMANCE_SKU[CA],0)</calculatedColumnFormula>
    </tableColumn>
    <tableColumn id="4" xr3:uid="{45E0CCF3-91F8-4E88-88C3-F5F51904A3D1}" uniqueName="4" name="Part_CA" queryTableFieldId="9" dataDxfId="8">
      <calculatedColumnFormula>EDA_01_PERFORMANCE_SKU[[#This Row],[CA]]/SUM(EDA_01_PERFORMANCE_SKU[CA])</calculatedColumnFormula>
    </tableColumn>
    <tableColumn id="8" xr3:uid="{5B7C7B49-D0BA-4933-B66C-86B711CA3838}" uniqueName="8" name="CA_Cumule" queryTableFieldId="10" dataDxfId="7">
      <calculatedColumnFormula>SUMIF(EDA_01_PERFORMANCE_SKU[Rang_CA],"&lt;="&amp;EDA_01_PERFORMANCE_SKU[[#This Row],[Rang_CA]],EDA_01_PERFORMANCE_SKU[CA])</calculatedColumnFormula>
    </tableColumn>
    <tableColumn id="9" xr3:uid="{91E6CA21-09F3-4AA0-82D3-9A1692D71DEC}" uniqueName="9" name="%_CA_Cumule" queryTableFieldId="11" dataDxfId="6">
      <calculatedColumnFormula>EDA_01_PERFORMANCE_SKU[[#This Row],[CA_Cumule]]/SUM(EDA_01_PERFORMANCE_SKU[CA])</calculatedColumnFormula>
    </tableColumn>
    <tableColumn id="10" xr3:uid="{E576555B-A21E-45FC-84A0-A771504058A8}" uniqueName="10" name="Seuil_ABC" queryTableFieldId="12" dataDxfId="5">
      <calculatedColumnFormula>IF(EDA_01_PERFORMANCE_SKU[[#This Row],[%_CA_Cumule]]&lt;20%,"A", IF(EDA_01_PERFORMANCE_SKU[[#This Row],[%_CA_Cumule]]&lt;50%,"B", IF(EDA_01_PERFORMANCE_SKU[[#This Row],[%_CA_Cumule]]&lt;80%,"C","D")))</calculatedColumnFormula>
    </tableColumn>
    <tableColumn id="12" xr3:uid="{DD619D92-748B-485E-B514-7EF1CE00F5FB}" uniqueName="12" name="Rang_Marge" queryTableFieldId="14" dataDxfId="4">
      <calculatedColumnFormula>_xlfn.RANK.EQ(EDA_01_PERFORMANCE_SKU[[#This Row],[Marge_Brute]],EDA_01_PERFORMANCE_SKU[Marge_Brute],0)</calculatedColumnFormula>
    </tableColumn>
    <tableColumn id="13" xr3:uid="{CD0FED6C-4567-42CE-9A28-E1404F85C215}" uniqueName="13" name="Ecart_Rang" queryTableFieldId="15" dataDxfId="3">
      <calculatedColumnFormula>ABS(EDA_01_PERFORMANCE_SKU[[#This Row],[Rang_CA]]-EDA_01_PERFORMANCE_SKU[[#This Row],[Rang_Marge]])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225806-C2EE-4FEB-8A9D-63DF9F3BAE90}" name="Tableau4" displayName="Tableau4" ref="N1:O5" totalsRowShown="0" headerRowDxfId="2">
  <autoFilter ref="N1:O5" xr:uid="{0C225806-C2EE-4FEB-8A9D-63DF9F3BAE90}"/>
  <tableColumns count="2">
    <tableColumn id="1" xr3:uid="{0F307C24-5F07-40F6-9066-E562CC4CE718}" name="Seuil CA" dataDxfId="1"/>
    <tableColumn id="2" xr3:uid="{04B1A2D3-9302-463B-957B-E1BBEB0D8040}" name="Nb SKU nécessaires" dataDxfId="0">
      <calculatedColumnFormula>MATCH(Tableau4[[#This Row],[Seuil CA]],EDA_01_PERFORMANCE_SKU[%_CA_Cumule],1)+1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FC35AE-89D9-43A0-8A82-E1DD853B3A21}" name="Tableau5" displayName="Tableau5" ref="Q1:R5" totalsRowShown="0">
  <autoFilter ref="Q1:R5" xr:uid="{FFFC35AE-89D9-43A0-8A82-E1DD853B3A21}"/>
  <tableColumns count="2">
    <tableColumn id="1" xr3:uid="{6EB262F2-B090-41A3-AB68-45A13A3FB34B}" name="Indicateur"/>
    <tableColumn id="2" xr3:uid="{1DF863CE-558C-480B-8007-C038F14CDE0F}" name="Val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BC6A-D86F-4B55-B771-F108DA3A808C}">
  <dimension ref="A1:R51"/>
  <sheetViews>
    <sheetView tabSelected="1" zoomScale="70" zoomScaleNormal="70" workbookViewId="0">
      <selection activeCell="L10" sqref="L10"/>
    </sheetView>
  </sheetViews>
  <sheetFormatPr baseColWidth="10" defaultRowHeight="15" x14ac:dyDescent="0.25"/>
  <cols>
    <col min="1" max="1" width="11.28515625" bestFit="1" customWidth="1"/>
    <col min="2" max="2" width="13.42578125" bestFit="1" customWidth="1"/>
    <col min="3" max="3" width="11" bestFit="1" customWidth="1"/>
    <col min="4" max="4" width="12.42578125" bestFit="1" customWidth="1"/>
    <col min="5" max="5" width="19.5703125" bestFit="1" customWidth="1"/>
    <col min="6" max="6" width="15.7109375" bestFit="1" customWidth="1"/>
    <col min="7" max="7" width="16.140625" bestFit="1" customWidth="1"/>
    <col min="8" max="8" width="18.140625" bestFit="1" customWidth="1"/>
    <col min="9" max="9" width="21.5703125" bestFit="1" customWidth="1"/>
    <col min="10" max="10" width="17.140625" bestFit="1" customWidth="1"/>
    <col min="12" max="12" width="11.5703125" bestFit="1" customWidth="1"/>
    <col min="13" max="13" width="11.140625" customWidth="1"/>
    <col min="14" max="14" width="16.28515625" bestFit="1" customWidth="1"/>
    <col min="15" max="15" width="27.85546875" bestFit="1" customWidth="1"/>
    <col min="17" max="17" width="16.42578125" bestFit="1" customWidth="1"/>
    <col min="18" max="18" width="12.42578125" bestFit="1" customWidth="1"/>
  </cols>
  <sheetData>
    <row r="1" spans="1:18" ht="18" customHeight="1" x14ac:dyDescent="0.25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62</v>
      </c>
      <c r="L1" t="s">
        <v>63</v>
      </c>
      <c r="N1" s="2" t="s">
        <v>60</v>
      </c>
      <c r="O1" s="2" t="s">
        <v>61</v>
      </c>
      <c r="Q1" t="s">
        <v>64</v>
      </c>
      <c r="R1" t="s">
        <v>65</v>
      </c>
    </row>
    <row r="2" spans="1:18" x14ac:dyDescent="0.25">
      <c r="A2" t="s">
        <v>39</v>
      </c>
      <c r="B2">
        <v>36739</v>
      </c>
      <c r="C2">
        <v>1057641.5100000012</v>
      </c>
      <c r="D2">
        <v>689010.5400000012</v>
      </c>
      <c r="E2">
        <v>368630.96999999898</v>
      </c>
      <c r="F2">
        <f>_xlfn.RANK.EQ(EDA_01_PERFORMANCE_SKU[[#This Row],[CA]],EDA_01_PERFORMANCE_SKU[CA],0)</f>
        <v>1</v>
      </c>
      <c r="G2" s="1">
        <f>EDA_01_PERFORMANCE_SKU[[#This Row],[CA]]/SUM(EDA_01_PERFORMANCE_SKU[CA])</f>
        <v>3.1640963322992571E-2</v>
      </c>
      <c r="H2">
        <f>SUMIF(EDA_01_PERFORMANCE_SKU[Rang_CA],"&lt;="&amp;EDA_01_PERFORMANCE_SKU[[#This Row],[Rang_CA]],EDA_01_PERFORMANCE_SKU[CA])</f>
        <v>1057641.5100000012</v>
      </c>
      <c r="I2" s="1">
        <f>EDA_01_PERFORMANCE_SKU[[#This Row],[CA_Cumule]]/SUM(EDA_01_PERFORMANCE_SKU[CA])</f>
        <v>3.1640963322992571E-2</v>
      </c>
      <c r="J2" t="str">
        <f>IF(EDA_01_PERFORMANCE_SKU[[#This Row],[%_CA_Cumule]]&lt;20%,"A", IF(EDA_01_PERFORMANCE_SKU[[#This Row],[%_CA_Cumule]]&lt;50%,"B", IF(EDA_01_PERFORMANCE_SKU[[#This Row],[%_CA_Cumule]]&lt;80%,"C","D")))</f>
        <v>A</v>
      </c>
      <c r="K2">
        <f>_xlfn.RANK.EQ(EDA_01_PERFORMANCE_SKU[[#This Row],[Marge_Brute]],EDA_01_PERFORMANCE_SKU[Marge_Brute],0)</f>
        <v>1</v>
      </c>
      <c r="L2">
        <f>ABS(EDA_01_PERFORMANCE_SKU[[#This Row],[Rang_CA]]-EDA_01_PERFORMANCE_SKU[[#This Row],[Rang_Marge]])</f>
        <v>0</v>
      </c>
      <c r="N2" s="3">
        <v>0.2</v>
      </c>
      <c r="O2" s="4">
        <f>MATCH(Tableau4[[#This Row],[Seuil CA]],EDA_01_PERFORMANCE_SKU[%_CA_Cumule],1)+1</f>
        <v>8</v>
      </c>
      <c r="Q2" t="s">
        <v>66</v>
      </c>
      <c r="R2">
        <f>AVERAGE(EDA_01_PERFORMANCE_SKU[Ecart_Rang])</f>
        <v>5.68</v>
      </c>
    </row>
    <row r="3" spans="1:18" x14ac:dyDescent="0.25">
      <c r="A3" t="s">
        <v>41</v>
      </c>
      <c r="B3">
        <v>36443</v>
      </c>
      <c r="C3">
        <v>923848.6199999986</v>
      </c>
      <c r="D3">
        <v>569391.75999999919</v>
      </c>
      <c r="E3">
        <v>354456.85999999917</v>
      </c>
      <c r="F3">
        <f>_xlfn.RANK.EQ(EDA_01_PERFORMANCE_SKU[[#This Row],[CA]],EDA_01_PERFORMANCE_SKU[CA],0)</f>
        <v>2</v>
      </c>
      <c r="G3" s="1">
        <f>EDA_01_PERFORMANCE_SKU[[#This Row],[CA]]/SUM(EDA_01_PERFORMANCE_SKU[CA])</f>
        <v>2.763834439650277E-2</v>
      </c>
      <c r="H3">
        <f>SUMIF(EDA_01_PERFORMANCE_SKU[Rang_CA],"&lt;="&amp;EDA_01_PERFORMANCE_SKU[[#This Row],[Rang_CA]],EDA_01_PERFORMANCE_SKU[CA])</f>
        <v>1981490.13</v>
      </c>
      <c r="I3" s="1">
        <f>EDA_01_PERFORMANCE_SKU[[#This Row],[CA_Cumule]]/SUM(EDA_01_PERFORMANCE_SKU[CA])</f>
        <v>5.9279307719495349E-2</v>
      </c>
      <c r="J3" t="str">
        <f>IF(EDA_01_PERFORMANCE_SKU[[#This Row],[%_CA_Cumule]]&lt;20%,"A", IF(EDA_01_PERFORMANCE_SKU[[#This Row],[%_CA_Cumule]]&lt;50%,"B", IF(EDA_01_PERFORMANCE_SKU[[#This Row],[%_CA_Cumule]]&lt;80%,"C","D")))</f>
        <v>A</v>
      </c>
      <c r="K3">
        <f>_xlfn.RANK.EQ(EDA_01_PERFORMANCE_SKU[[#This Row],[Marge_Brute]],EDA_01_PERFORMANCE_SKU[Marge_Brute],0)</f>
        <v>2</v>
      </c>
      <c r="L3">
        <f>ABS(EDA_01_PERFORMANCE_SKU[[#This Row],[Rang_CA]]-EDA_01_PERFORMANCE_SKU[[#This Row],[Rang_Marge]])</f>
        <v>0</v>
      </c>
      <c r="N3" s="3">
        <v>0.5</v>
      </c>
      <c r="O3" s="4">
        <f>MATCH(Tableau4[[#This Row],[Seuil CA]],EDA_01_PERFORMANCE_SKU[%_CA_Cumule],1)+1</f>
        <v>22</v>
      </c>
      <c r="Q3" t="s">
        <v>67</v>
      </c>
      <c r="R3">
        <f>MAX(EDA_01_PERFORMANCE_SKU[Ecart_Rang])</f>
        <v>26</v>
      </c>
    </row>
    <row r="4" spans="1:18" x14ac:dyDescent="0.25">
      <c r="A4" t="s">
        <v>12</v>
      </c>
      <c r="B4">
        <v>36358</v>
      </c>
      <c r="C4">
        <v>888870.06999999867</v>
      </c>
      <c r="D4">
        <v>555711.23</v>
      </c>
      <c r="E4">
        <v>333158.83999999985</v>
      </c>
      <c r="F4">
        <f>_xlfn.RANK.EQ(EDA_01_PERFORMANCE_SKU[[#This Row],[CA]],EDA_01_PERFORMANCE_SKU[CA],0)</f>
        <v>3</v>
      </c>
      <c r="G4" s="1">
        <f>EDA_01_PERFORMANCE_SKU[[#This Row],[CA]]/SUM(EDA_01_PERFORMANCE_SKU[CA])</f>
        <v>2.659190757724304E-2</v>
      </c>
      <c r="H4">
        <f>SUMIF(EDA_01_PERFORMANCE_SKU[Rang_CA],"&lt;="&amp;EDA_01_PERFORMANCE_SKU[[#This Row],[Rang_CA]],EDA_01_PERFORMANCE_SKU[CA])</f>
        <v>2870360.1999999983</v>
      </c>
      <c r="I4" s="1">
        <f>EDA_01_PERFORMANCE_SKU[[#This Row],[CA_Cumule]]/SUM(EDA_01_PERFORMANCE_SKU[CA])</f>
        <v>8.5871215296738385E-2</v>
      </c>
      <c r="J4" t="str">
        <f>IF(EDA_01_PERFORMANCE_SKU[[#This Row],[%_CA_Cumule]]&lt;20%,"A", IF(EDA_01_PERFORMANCE_SKU[[#This Row],[%_CA_Cumule]]&lt;50%,"B", IF(EDA_01_PERFORMANCE_SKU[[#This Row],[%_CA_Cumule]]&lt;80%,"C","D")))</f>
        <v>A</v>
      </c>
      <c r="K4">
        <f>_xlfn.RANK.EQ(EDA_01_PERFORMANCE_SKU[[#This Row],[Marge_Brute]],EDA_01_PERFORMANCE_SKU[Marge_Brute],0)</f>
        <v>3</v>
      </c>
      <c r="L4">
        <f>ABS(EDA_01_PERFORMANCE_SKU[[#This Row],[Rang_CA]]-EDA_01_PERFORMANCE_SKU[[#This Row],[Rang_Marge]])</f>
        <v>0</v>
      </c>
      <c r="N4" s="3">
        <v>0.8</v>
      </c>
      <c r="O4" s="4">
        <f>MATCH(Tableau4[[#This Row],[Seuil CA]],EDA_01_PERFORMANCE_SKU[%_CA_Cumule],1)+1</f>
        <v>38</v>
      </c>
      <c r="Q4" t="s">
        <v>68</v>
      </c>
      <c r="R4">
        <f>COUNTIF(EDA_01_PERFORMANCE_SKU[Ecart_Rang],"&lt;=5")</f>
        <v>32</v>
      </c>
    </row>
    <row r="5" spans="1:18" x14ac:dyDescent="0.25">
      <c r="A5" t="s">
        <v>49</v>
      </c>
      <c r="B5">
        <v>36597</v>
      </c>
      <c r="C5">
        <v>846494.21999999916</v>
      </c>
      <c r="D5">
        <v>555626.39999999944</v>
      </c>
      <c r="E5">
        <v>290867.82000000012</v>
      </c>
      <c r="F5">
        <f>_xlfn.RANK.EQ(EDA_01_PERFORMANCE_SKU[[#This Row],[CA]],EDA_01_PERFORMANCE_SKU[CA],0)</f>
        <v>4</v>
      </c>
      <c r="G5" s="1">
        <f>EDA_01_PERFORMANCE_SKU[[#This Row],[CA]]/SUM(EDA_01_PERFORMANCE_SKU[CA])</f>
        <v>2.5324169215091747E-2</v>
      </c>
      <c r="H5">
        <f>SUMIF(EDA_01_PERFORMANCE_SKU[Rang_CA],"&lt;="&amp;EDA_01_PERFORMANCE_SKU[[#This Row],[Rang_CA]],EDA_01_PERFORMANCE_SKU[CA])</f>
        <v>3716854.4199999976</v>
      </c>
      <c r="I5" s="1">
        <f>EDA_01_PERFORMANCE_SKU[[#This Row],[CA_Cumule]]/SUM(EDA_01_PERFORMANCE_SKU[CA])</f>
        <v>0.11119538451183013</v>
      </c>
      <c r="J5" t="str">
        <f>IF(EDA_01_PERFORMANCE_SKU[[#This Row],[%_CA_Cumule]]&lt;20%,"A", IF(EDA_01_PERFORMANCE_SKU[[#This Row],[%_CA_Cumule]]&lt;50%,"B", IF(EDA_01_PERFORMANCE_SKU[[#This Row],[%_CA_Cumule]]&lt;80%,"C","D")))</f>
        <v>A</v>
      </c>
      <c r="K5">
        <f>_xlfn.RANK.EQ(EDA_01_PERFORMANCE_SKU[[#This Row],[Marge_Brute]],EDA_01_PERFORMANCE_SKU[Marge_Brute],0)</f>
        <v>5</v>
      </c>
      <c r="L5">
        <f>ABS(EDA_01_PERFORMANCE_SKU[[#This Row],[Rang_CA]]-EDA_01_PERFORMANCE_SKU[[#This Row],[Rang_Marge]])</f>
        <v>1</v>
      </c>
      <c r="N5" s="3">
        <v>0.9</v>
      </c>
      <c r="O5" s="4">
        <f>MATCH(Tableau4[[#This Row],[Seuil CA]],EDA_01_PERFORMANCE_SKU[%_CA_Cumule],1)+1</f>
        <v>44</v>
      </c>
      <c r="Q5" t="s">
        <v>69</v>
      </c>
      <c r="R5">
        <f>COUNTIF(EDA_01_PERFORMANCE_SKU[Ecart_Rang],"&gt;5")</f>
        <v>18</v>
      </c>
    </row>
    <row r="6" spans="1:18" x14ac:dyDescent="0.25">
      <c r="A6" t="s">
        <v>32</v>
      </c>
      <c r="B6">
        <v>36742</v>
      </c>
      <c r="C6">
        <v>827241.09000000055</v>
      </c>
      <c r="D6">
        <v>544470.53000000038</v>
      </c>
      <c r="E6">
        <v>282770.55999999994</v>
      </c>
      <c r="F6">
        <f>_xlfn.RANK.EQ(EDA_01_PERFORMANCE_SKU[[#This Row],[CA]],EDA_01_PERFORMANCE_SKU[CA],0)</f>
        <v>5</v>
      </c>
      <c r="G6" s="1">
        <f>EDA_01_PERFORMANCE_SKU[[#This Row],[CA]]/SUM(EDA_01_PERFORMANCE_SKU[CA])</f>
        <v>2.4748182385506398E-2</v>
      </c>
      <c r="H6">
        <f>SUMIF(EDA_01_PERFORMANCE_SKU[Rang_CA],"&lt;="&amp;EDA_01_PERFORMANCE_SKU[[#This Row],[Rang_CA]],EDA_01_PERFORMANCE_SKU[CA])</f>
        <v>4544095.5099999979</v>
      </c>
      <c r="I6" s="1">
        <f>EDA_01_PERFORMANCE_SKU[[#This Row],[CA_Cumule]]/SUM(EDA_01_PERFORMANCE_SKU[CA])</f>
        <v>0.13594356689733653</v>
      </c>
      <c r="J6" t="str">
        <f>IF(EDA_01_PERFORMANCE_SKU[[#This Row],[%_CA_Cumule]]&lt;20%,"A", IF(EDA_01_PERFORMANCE_SKU[[#This Row],[%_CA_Cumule]]&lt;50%,"B", IF(EDA_01_PERFORMANCE_SKU[[#This Row],[%_CA_Cumule]]&lt;80%,"C","D")))</f>
        <v>A</v>
      </c>
      <c r="K6">
        <f>_xlfn.RANK.EQ(EDA_01_PERFORMANCE_SKU[[#This Row],[Marge_Brute]],EDA_01_PERFORMANCE_SKU[Marge_Brute],0)</f>
        <v>6</v>
      </c>
      <c r="L6">
        <f>ABS(EDA_01_PERFORMANCE_SKU[[#This Row],[Rang_CA]]-EDA_01_PERFORMANCE_SKU[[#This Row],[Rang_Marge]])</f>
        <v>1</v>
      </c>
    </row>
    <row r="7" spans="1:18" x14ac:dyDescent="0.25">
      <c r="A7" t="s">
        <v>23</v>
      </c>
      <c r="B7">
        <v>36646</v>
      </c>
      <c r="C7">
        <v>794945.99000000011</v>
      </c>
      <c r="D7">
        <v>533312.19999999984</v>
      </c>
      <c r="E7">
        <v>261633.79000000012</v>
      </c>
      <c r="F7">
        <f>_xlfn.RANK.EQ(EDA_01_PERFORMANCE_SKU[[#This Row],[CA]],EDA_01_PERFORMANCE_SKU[CA],0)</f>
        <v>6</v>
      </c>
      <c r="G7" s="1">
        <f>EDA_01_PERFORMANCE_SKU[[#This Row],[CA]]/SUM(EDA_01_PERFORMANCE_SKU[CA])</f>
        <v>2.3782025077050916E-2</v>
      </c>
      <c r="H7">
        <f>SUMIF(EDA_01_PERFORMANCE_SKU[Rang_CA],"&lt;="&amp;EDA_01_PERFORMANCE_SKU[[#This Row],[Rang_CA]],EDA_01_PERFORMANCE_SKU[CA])</f>
        <v>5339041.4999999981</v>
      </c>
      <c r="I7" s="1">
        <f>EDA_01_PERFORMANCE_SKU[[#This Row],[CA_Cumule]]/SUM(EDA_01_PERFORMANCE_SKU[CA])</f>
        <v>0.15972559197438743</v>
      </c>
      <c r="J7" t="str">
        <f>IF(EDA_01_PERFORMANCE_SKU[[#This Row],[%_CA_Cumule]]&lt;20%,"A", IF(EDA_01_PERFORMANCE_SKU[[#This Row],[%_CA_Cumule]]&lt;50%,"B", IF(EDA_01_PERFORMANCE_SKU[[#This Row],[%_CA_Cumule]]&lt;80%,"C","D")))</f>
        <v>A</v>
      </c>
      <c r="K7">
        <f>_xlfn.RANK.EQ(EDA_01_PERFORMANCE_SKU[[#This Row],[Marge_Brute]],EDA_01_PERFORMANCE_SKU[Marge_Brute],0)</f>
        <v>11</v>
      </c>
      <c r="L7">
        <f>ABS(EDA_01_PERFORMANCE_SKU[[#This Row],[Rang_CA]]-EDA_01_PERFORMANCE_SKU[[#This Row],[Rang_Marge]])</f>
        <v>5</v>
      </c>
    </row>
    <row r="8" spans="1:18" x14ac:dyDescent="0.25">
      <c r="A8" t="s">
        <v>47</v>
      </c>
      <c r="B8">
        <v>36270</v>
      </c>
      <c r="C8">
        <v>789467.77999999945</v>
      </c>
      <c r="D8">
        <v>528585.11999999953</v>
      </c>
      <c r="E8">
        <v>260882.66000000053</v>
      </c>
      <c r="F8">
        <f>_xlfn.RANK.EQ(EDA_01_PERFORMANCE_SKU[[#This Row],[CA]],EDA_01_PERFORMANCE_SKU[CA],0)</f>
        <v>7</v>
      </c>
      <c r="G8" s="1">
        <f>EDA_01_PERFORMANCE_SKU[[#This Row],[CA]]/SUM(EDA_01_PERFORMANCE_SKU[CA])</f>
        <v>2.3618136046555438E-2</v>
      </c>
      <c r="H8">
        <f>SUMIF(EDA_01_PERFORMANCE_SKU[Rang_CA],"&lt;="&amp;EDA_01_PERFORMANCE_SKU[[#This Row],[Rang_CA]],EDA_01_PERFORMANCE_SKU[CA])</f>
        <v>6128509.2799999975</v>
      </c>
      <c r="I8" s="1">
        <f>EDA_01_PERFORMANCE_SKU[[#This Row],[CA_Cumule]]/SUM(EDA_01_PERFORMANCE_SKU[CA])</f>
        <v>0.18334372802094287</v>
      </c>
      <c r="J8" t="str">
        <f>IF(EDA_01_PERFORMANCE_SKU[[#This Row],[%_CA_Cumule]]&lt;20%,"A", IF(EDA_01_PERFORMANCE_SKU[[#This Row],[%_CA_Cumule]]&lt;50%,"B", IF(EDA_01_PERFORMANCE_SKU[[#This Row],[%_CA_Cumule]]&lt;80%,"C","D")))</f>
        <v>A</v>
      </c>
      <c r="K8">
        <f>_xlfn.RANK.EQ(EDA_01_PERFORMANCE_SKU[[#This Row],[Marge_Brute]],EDA_01_PERFORMANCE_SKU[Marge_Brute],0)</f>
        <v>12</v>
      </c>
      <c r="L8">
        <f>ABS(EDA_01_PERFORMANCE_SKU[[#This Row],[Rang_CA]]-EDA_01_PERFORMANCE_SKU[[#This Row],[Rang_Marge]])</f>
        <v>5</v>
      </c>
    </row>
    <row r="9" spans="1:18" x14ac:dyDescent="0.25">
      <c r="A9" t="s">
        <v>38</v>
      </c>
      <c r="B9">
        <v>36730</v>
      </c>
      <c r="C9">
        <v>772557.650000002</v>
      </c>
      <c r="D9">
        <v>492837.95000000007</v>
      </c>
      <c r="E9">
        <v>279719.6999999996</v>
      </c>
      <c r="F9">
        <f>_xlfn.RANK.EQ(EDA_01_PERFORMANCE_SKU[[#This Row],[CA]],EDA_01_PERFORMANCE_SKU[CA],0)</f>
        <v>8</v>
      </c>
      <c r="G9" s="1">
        <f>EDA_01_PERFORMANCE_SKU[[#This Row],[CA]]/SUM(EDA_01_PERFORMANCE_SKU[CA])</f>
        <v>2.3112243645341955E-2</v>
      </c>
      <c r="H9">
        <f>SUMIF(EDA_01_PERFORMANCE_SKU[Rang_CA],"&lt;="&amp;EDA_01_PERFORMANCE_SKU[[#This Row],[Rang_CA]],EDA_01_PERFORMANCE_SKU[CA])</f>
        <v>6901066.9299999997</v>
      </c>
      <c r="I9" s="1">
        <f>EDA_01_PERFORMANCE_SKU[[#This Row],[CA_Cumule]]/SUM(EDA_01_PERFORMANCE_SKU[CA])</f>
        <v>0.20645597166628485</v>
      </c>
      <c r="J9" t="str">
        <f>IF(EDA_01_PERFORMANCE_SKU[[#This Row],[%_CA_Cumule]]&lt;20%,"A", IF(EDA_01_PERFORMANCE_SKU[[#This Row],[%_CA_Cumule]]&lt;50%,"B", IF(EDA_01_PERFORMANCE_SKU[[#This Row],[%_CA_Cumule]]&lt;80%,"C","D")))</f>
        <v>B</v>
      </c>
      <c r="K9">
        <f>_xlfn.RANK.EQ(EDA_01_PERFORMANCE_SKU[[#This Row],[Marge_Brute]],EDA_01_PERFORMANCE_SKU[Marge_Brute],0)</f>
        <v>8</v>
      </c>
      <c r="L9">
        <f>ABS(EDA_01_PERFORMANCE_SKU[[#This Row],[Rang_CA]]-EDA_01_PERFORMANCE_SKU[[#This Row],[Rang_Marge]])</f>
        <v>0</v>
      </c>
    </row>
    <row r="10" spans="1:18" x14ac:dyDescent="0.25">
      <c r="A10" t="s">
        <v>5</v>
      </c>
      <c r="B10">
        <v>36811</v>
      </c>
      <c r="C10">
        <v>770679.65000000084</v>
      </c>
      <c r="D10">
        <v>505250.36999999918</v>
      </c>
      <c r="E10">
        <v>265429.27999999991</v>
      </c>
      <c r="F10">
        <f>_xlfn.RANK.EQ(EDA_01_PERFORMANCE_SKU[[#This Row],[CA]],EDA_01_PERFORMANCE_SKU[CA],0)</f>
        <v>9</v>
      </c>
      <c r="G10" s="1">
        <f>EDA_01_PERFORMANCE_SKU[[#This Row],[CA]]/SUM(EDA_01_PERFORMANCE_SKU[CA])</f>
        <v>2.3056060403138633E-2</v>
      </c>
      <c r="H10">
        <f>SUMIF(EDA_01_PERFORMANCE_SKU[Rang_CA],"&lt;="&amp;EDA_01_PERFORMANCE_SKU[[#This Row],[Rang_CA]],EDA_01_PERFORMANCE_SKU[CA])</f>
        <v>7671746.5800000001</v>
      </c>
      <c r="I10" s="1">
        <f>EDA_01_PERFORMANCE_SKU[[#This Row],[CA_Cumule]]/SUM(EDA_01_PERFORMANCE_SKU[CA])</f>
        <v>0.22951203206942344</v>
      </c>
      <c r="J10" t="str">
        <f>IF(EDA_01_PERFORMANCE_SKU[[#This Row],[%_CA_Cumule]]&lt;20%,"A", IF(EDA_01_PERFORMANCE_SKU[[#This Row],[%_CA_Cumule]]&lt;50%,"B", IF(EDA_01_PERFORMANCE_SKU[[#This Row],[%_CA_Cumule]]&lt;80%,"C","D")))</f>
        <v>B</v>
      </c>
      <c r="K10">
        <f>_xlfn.RANK.EQ(EDA_01_PERFORMANCE_SKU[[#This Row],[Marge_Brute]],EDA_01_PERFORMANCE_SKU[Marge_Brute],0)</f>
        <v>10</v>
      </c>
      <c r="L10">
        <f>ABS(EDA_01_PERFORMANCE_SKU[[#This Row],[Rang_CA]]-EDA_01_PERFORMANCE_SKU[[#This Row],[Rang_Marge]])</f>
        <v>1</v>
      </c>
    </row>
    <row r="11" spans="1:18" x14ac:dyDescent="0.25">
      <c r="A11" t="s">
        <v>21</v>
      </c>
      <c r="B11">
        <v>36735</v>
      </c>
      <c r="C11">
        <v>760349.89999999793</v>
      </c>
      <c r="D11">
        <v>467603.61000000068</v>
      </c>
      <c r="E11">
        <v>292746.28999999986</v>
      </c>
      <c r="F11">
        <f>_xlfn.RANK.EQ(EDA_01_PERFORMANCE_SKU[[#This Row],[CA]],EDA_01_PERFORMANCE_SKU[CA],0)</f>
        <v>10</v>
      </c>
      <c r="G11" s="1">
        <f>EDA_01_PERFORMANCE_SKU[[#This Row],[CA]]/SUM(EDA_01_PERFORMANCE_SKU[CA])</f>
        <v>2.2747030133623423E-2</v>
      </c>
      <c r="H11">
        <f>SUMIF(EDA_01_PERFORMANCE_SKU[Rang_CA],"&lt;="&amp;EDA_01_PERFORMANCE_SKU[[#This Row],[Rang_CA]],EDA_01_PERFORMANCE_SKU[CA])</f>
        <v>8432096.4799999986</v>
      </c>
      <c r="I11" s="1">
        <f>EDA_01_PERFORMANCE_SKU[[#This Row],[CA_Cumule]]/SUM(EDA_01_PERFORMANCE_SKU[CA])</f>
        <v>0.25225906220304689</v>
      </c>
      <c r="J11" t="str">
        <f>IF(EDA_01_PERFORMANCE_SKU[[#This Row],[%_CA_Cumule]]&lt;20%,"A", IF(EDA_01_PERFORMANCE_SKU[[#This Row],[%_CA_Cumule]]&lt;50%,"B", IF(EDA_01_PERFORMANCE_SKU[[#This Row],[%_CA_Cumule]]&lt;80%,"C","D")))</f>
        <v>B</v>
      </c>
      <c r="K11">
        <f>_xlfn.RANK.EQ(EDA_01_PERFORMANCE_SKU[[#This Row],[Marge_Brute]],EDA_01_PERFORMANCE_SKU[Marge_Brute],0)</f>
        <v>4</v>
      </c>
      <c r="L11">
        <f>ABS(EDA_01_PERFORMANCE_SKU[[#This Row],[Rang_CA]]-EDA_01_PERFORMANCE_SKU[[#This Row],[Rang_Marge]])</f>
        <v>6</v>
      </c>
    </row>
    <row r="12" spans="1:18" x14ac:dyDescent="0.25">
      <c r="A12" t="s">
        <v>3</v>
      </c>
      <c r="B12">
        <v>36490</v>
      </c>
      <c r="C12">
        <v>746765.45999999892</v>
      </c>
      <c r="D12">
        <v>464065.60999999958</v>
      </c>
      <c r="E12">
        <v>282699.85000000015</v>
      </c>
      <c r="F12">
        <f>_xlfn.RANK.EQ(EDA_01_PERFORMANCE_SKU[[#This Row],[CA]],EDA_01_PERFORMANCE_SKU[CA],0)</f>
        <v>11</v>
      </c>
      <c r="G12" s="1">
        <f>EDA_01_PERFORMANCE_SKU[[#This Row],[CA]]/SUM(EDA_01_PERFORMANCE_SKU[CA])</f>
        <v>2.2340630835052624E-2</v>
      </c>
      <c r="H12">
        <f>SUMIF(EDA_01_PERFORMANCE_SKU[Rang_CA],"&lt;="&amp;EDA_01_PERFORMANCE_SKU[[#This Row],[Rang_CA]],EDA_01_PERFORMANCE_SKU[CA])</f>
        <v>9178861.9399999976</v>
      </c>
      <c r="I12" s="1">
        <f>EDA_01_PERFORMANCE_SKU[[#This Row],[CA_Cumule]]/SUM(EDA_01_PERFORMANCE_SKU[CA])</f>
        <v>0.2745996930380995</v>
      </c>
      <c r="J12" t="str">
        <f>IF(EDA_01_PERFORMANCE_SKU[[#This Row],[%_CA_Cumule]]&lt;20%,"A", IF(EDA_01_PERFORMANCE_SKU[[#This Row],[%_CA_Cumule]]&lt;50%,"B", IF(EDA_01_PERFORMANCE_SKU[[#This Row],[%_CA_Cumule]]&lt;80%,"C","D")))</f>
        <v>B</v>
      </c>
      <c r="K12">
        <f>_xlfn.RANK.EQ(EDA_01_PERFORMANCE_SKU[[#This Row],[Marge_Brute]],EDA_01_PERFORMANCE_SKU[Marge_Brute],0)</f>
        <v>7</v>
      </c>
      <c r="L12">
        <f>ABS(EDA_01_PERFORMANCE_SKU[[#This Row],[Rang_CA]]-EDA_01_PERFORMANCE_SKU[[#This Row],[Rang_Marge]])</f>
        <v>4</v>
      </c>
    </row>
    <row r="13" spans="1:18" x14ac:dyDescent="0.25">
      <c r="A13" t="s">
        <v>18</v>
      </c>
      <c r="B13">
        <v>36449</v>
      </c>
      <c r="C13">
        <v>731422.16000000073</v>
      </c>
      <c r="D13">
        <v>471393.79000000044</v>
      </c>
      <c r="E13">
        <v>260028.37</v>
      </c>
      <c r="F13">
        <f>_xlfn.RANK.EQ(EDA_01_PERFORMANCE_SKU[[#This Row],[CA]],EDA_01_PERFORMANCE_SKU[CA],0)</f>
        <v>12</v>
      </c>
      <c r="G13" s="1">
        <f>EDA_01_PERFORMANCE_SKU[[#This Row],[CA]]/SUM(EDA_01_PERFORMANCE_SKU[CA])</f>
        <v>2.1881612549590649E-2</v>
      </c>
      <c r="H13">
        <f>SUMIF(EDA_01_PERFORMANCE_SKU[Rang_CA],"&lt;="&amp;EDA_01_PERFORMANCE_SKU[[#This Row],[Rang_CA]],EDA_01_PERFORMANCE_SKU[CA])</f>
        <v>9910284.0999999978</v>
      </c>
      <c r="I13" s="1">
        <f>EDA_01_PERFORMANCE_SKU[[#This Row],[CA_Cumule]]/SUM(EDA_01_PERFORMANCE_SKU[CA])</f>
        <v>0.29648130558769015</v>
      </c>
      <c r="J13" t="str">
        <f>IF(EDA_01_PERFORMANCE_SKU[[#This Row],[%_CA_Cumule]]&lt;20%,"A", IF(EDA_01_PERFORMANCE_SKU[[#This Row],[%_CA_Cumule]]&lt;50%,"B", IF(EDA_01_PERFORMANCE_SKU[[#This Row],[%_CA_Cumule]]&lt;80%,"C","D")))</f>
        <v>B</v>
      </c>
      <c r="K13">
        <f>_xlfn.RANK.EQ(EDA_01_PERFORMANCE_SKU[[#This Row],[Marge_Brute]],EDA_01_PERFORMANCE_SKU[Marge_Brute],0)</f>
        <v>14</v>
      </c>
      <c r="L13">
        <f>ABS(EDA_01_PERFORMANCE_SKU[[#This Row],[Rang_CA]]-EDA_01_PERFORMANCE_SKU[[#This Row],[Rang_Marge]])</f>
        <v>2</v>
      </c>
    </row>
    <row r="14" spans="1:18" x14ac:dyDescent="0.25">
      <c r="A14" t="s">
        <v>11</v>
      </c>
      <c r="B14">
        <v>36579</v>
      </c>
      <c r="C14">
        <v>725581.39000000083</v>
      </c>
      <c r="D14">
        <v>503829.52000000014</v>
      </c>
      <c r="E14">
        <v>221751.86999999997</v>
      </c>
      <c r="F14">
        <f>_xlfn.RANK.EQ(EDA_01_PERFORMANCE_SKU[[#This Row],[CA]],EDA_01_PERFORMANCE_SKU[CA],0)</f>
        <v>13</v>
      </c>
      <c r="G14" s="1">
        <f>EDA_01_PERFORMANCE_SKU[[#This Row],[CA]]/SUM(EDA_01_PERFORMANCE_SKU[CA])</f>
        <v>2.1706876982197844E-2</v>
      </c>
      <c r="H14">
        <f>SUMIF(EDA_01_PERFORMANCE_SKU[Rang_CA],"&lt;="&amp;EDA_01_PERFORMANCE_SKU[[#This Row],[Rang_CA]],EDA_01_PERFORMANCE_SKU[CA])</f>
        <v>10635865.489999998</v>
      </c>
      <c r="I14" s="1">
        <f>EDA_01_PERFORMANCE_SKU[[#This Row],[CA_Cumule]]/SUM(EDA_01_PERFORMANCE_SKU[CA])</f>
        <v>0.31818818256988801</v>
      </c>
      <c r="J14" t="str">
        <f>IF(EDA_01_PERFORMANCE_SKU[[#This Row],[%_CA_Cumule]]&lt;20%,"A", IF(EDA_01_PERFORMANCE_SKU[[#This Row],[%_CA_Cumule]]&lt;50%,"B", IF(EDA_01_PERFORMANCE_SKU[[#This Row],[%_CA_Cumule]]&lt;80%,"C","D")))</f>
        <v>B</v>
      </c>
      <c r="K14">
        <f>_xlfn.RANK.EQ(EDA_01_PERFORMANCE_SKU[[#This Row],[Marge_Brute]],EDA_01_PERFORMANCE_SKU[Marge_Brute],0)</f>
        <v>22</v>
      </c>
      <c r="L14">
        <f>ABS(EDA_01_PERFORMANCE_SKU[[#This Row],[Rang_CA]]-EDA_01_PERFORMANCE_SKU[[#This Row],[Rang_Marge]])</f>
        <v>9</v>
      </c>
    </row>
    <row r="15" spans="1:18" x14ac:dyDescent="0.25">
      <c r="A15" t="s">
        <v>9</v>
      </c>
      <c r="B15">
        <v>36702</v>
      </c>
      <c r="C15">
        <v>722617.88000000047</v>
      </c>
      <c r="D15">
        <v>482877.27000000037</v>
      </c>
      <c r="E15">
        <v>239740.61000000034</v>
      </c>
      <c r="F15">
        <f>_xlfn.RANK.EQ(EDA_01_PERFORMANCE_SKU[[#This Row],[CA]],EDA_01_PERFORMANCE_SKU[CA],0)</f>
        <v>14</v>
      </c>
      <c r="G15" s="1">
        <f>EDA_01_PERFORMANCE_SKU[[#This Row],[CA]]/SUM(EDA_01_PERFORMANCE_SKU[CA])</f>
        <v>2.1618219048171284E-2</v>
      </c>
      <c r="H15">
        <f>SUMIF(EDA_01_PERFORMANCE_SKU[Rang_CA],"&lt;="&amp;EDA_01_PERFORMANCE_SKU[[#This Row],[Rang_CA]],EDA_01_PERFORMANCE_SKU[CA])</f>
        <v>11358483.369999999</v>
      </c>
      <c r="I15" s="1">
        <f>EDA_01_PERFORMANCE_SKU[[#This Row],[CA_Cumule]]/SUM(EDA_01_PERFORMANCE_SKU[CA])</f>
        <v>0.33980640161805931</v>
      </c>
      <c r="J15" t="str">
        <f>IF(EDA_01_PERFORMANCE_SKU[[#This Row],[%_CA_Cumule]]&lt;20%,"A", IF(EDA_01_PERFORMANCE_SKU[[#This Row],[%_CA_Cumule]]&lt;50%,"B", IF(EDA_01_PERFORMANCE_SKU[[#This Row],[%_CA_Cumule]]&lt;80%,"C","D")))</f>
        <v>B</v>
      </c>
      <c r="K15">
        <f>_xlfn.RANK.EQ(EDA_01_PERFORMANCE_SKU[[#This Row],[Marge_Brute]],EDA_01_PERFORMANCE_SKU[Marge_Brute],0)</f>
        <v>17</v>
      </c>
      <c r="L15">
        <f>ABS(EDA_01_PERFORMANCE_SKU[[#This Row],[Rang_CA]]-EDA_01_PERFORMANCE_SKU[[#This Row],[Rang_Marge]])</f>
        <v>3</v>
      </c>
    </row>
    <row r="16" spans="1:18" x14ac:dyDescent="0.25">
      <c r="A16" t="s">
        <v>14</v>
      </c>
      <c r="B16">
        <v>36915</v>
      </c>
      <c r="C16">
        <v>720991.93999999913</v>
      </c>
      <c r="D16">
        <v>533348.54000000039</v>
      </c>
      <c r="E16">
        <v>187643.39999999985</v>
      </c>
      <c r="F16">
        <f>_xlfn.RANK.EQ(EDA_01_PERFORMANCE_SKU[[#This Row],[CA]],EDA_01_PERFORMANCE_SKU[CA],0)</f>
        <v>15</v>
      </c>
      <c r="G16" s="1">
        <f>EDA_01_PERFORMANCE_SKU[[#This Row],[CA]]/SUM(EDA_01_PERFORMANCE_SKU[CA])</f>
        <v>2.1569576566367189E-2</v>
      </c>
      <c r="H16">
        <f>SUMIF(EDA_01_PERFORMANCE_SKU[Rang_CA],"&lt;="&amp;EDA_01_PERFORMANCE_SKU[[#This Row],[Rang_CA]],EDA_01_PERFORMANCE_SKU[CA])</f>
        <v>12079475.309999999</v>
      </c>
      <c r="I16" s="1">
        <f>EDA_01_PERFORMANCE_SKU[[#This Row],[CA_Cumule]]/SUM(EDA_01_PERFORMANCE_SKU[CA])</f>
        <v>0.36137597818442646</v>
      </c>
      <c r="J16" t="str">
        <f>IF(EDA_01_PERFORMANCE_SKU[[#This Row],[%_CA_Cumule]]&lt;20%,"A", IF(EDA_01_PERFORMANCE_SKU[[#This Row],[%_CA_Cumule]]&lt;50%,"B", IF(EDA_01_PERFORMANCE_SKU[[#This Row],[%_CA_Cumule]]&lt;80%,"C","D")))</f>
        <v>B</v>
      </c>
      <c r="K16">
        <f>_xlfn.RANK.EQ(EDA_01_PERFORMANCE_SKU[[#This Row],[Marge_Brute]],EDA_01_PERFORMANCE_SKU[Marge_Brute],0)</f>
        <v>36</v>
      </c>
      <c r="L16">
        <f>ABS(EDA_01_PERFORMANCE_SKU[[#This Row],[Rang_CA]]-EDA_01_PERFORMANCE_SKU[[#This Row],[Rang_Marge]])</f>
        <v>21</v>
      </c>
    </row>
    <row r="17" spans="1:18" x14ac:dyDescent="0.25">
      <c r="A17" t="s">
        <v>16</v>
      </c>
      <c r="B17">
        <v>36397</v>
      </c>
      <c r="C17">
        <v>719249.72999999928</v>
      </c>
      <c r="D17">
        <v>462147.43999999971</v>
      </c>
      <c r="E17">
        <v>257102.29</v>
      </c>
      <c r="F17">
        <f>_xlfn.RANK.EQ(EDA_01_PERFORMANCE_SKU[[#This Row],[CA]],EDA_01_PERFORMANCE_SKU[CA],0)</f>
        <v>16</v>
      </c>
      <c r="G17" s="1">
        <f>EDA_01_PERFORMANCE_SKU[[#This Row],[CA]]/SUM(EDA_01_PERFORMANCE_SKU[CA])</f>
        <v>2.1517455689690417E-2</v>
      </c>
      <c r="H17">
        <f>SUMIF(EDA_01_PERFORMANCE_SKU[Rang_CA],"&lt;="&amp;EDA_01_PERFORMANCE_SKU[[#This Row],[Rang_CA]],EDA_01_PERFORMANCE_SKU[CA])</f>
        <v>12798725.039999997</v>
      </c>
      <c r="I17" s="1">
        <f>EDA_01_PERFORMANCE_SKU[[#This Row],[CA_Cumule]]/SUM(EDA_01_PERFORMANCE_SKU[CA])</f>
        <v>0.3828934338741169</v>
      </c>
      <c r="J17" t="str">
        <f>IF(EDA_01_PERFORMANCE_SKU[[#This Row],[%_CA_Cumule]]&lt;20%,"A", IF(EDA_01_PERFORMANCE_SKU[[#This Row],[%_CA_Cumule]]&lt;50%,"B", IF(EDA_01_PERFORMANCE_SKU[[#This Row],[%_CA_Cumule]]&lt;80%,"C","D")))</f>
        <v>B</v>
      </c>
      <c r="K17">
        <f>_xlfn.RANK.EQ(EDA_01_PERFORMANCE_SKU[[#This Row],[Marge_Brute]],EDA_01_PERFORMANCE_SKU[Marge_Brute],0)</f>
        <v>15</v>
      </c>
      <c r="L17">
        <f>ABS(EDA_01_PERFORMANCE_SKU[[#This Row],[Rang_CA]]-EDA_01_PERFORMANCE_SKU[[#This Row],[Rang_Marge]])</f>
        <v>1</v>
      </c>
    </row>
    <row r="18" spans="1:18" x14ac:dyDescent="0.25">
      <c r="A18" t="s">
        <v>24</v>
      </c>
      <c r="B18">
        <v>36698</v>
      </c>
      <c r="C18">
        <v>712132.90000000107</v>
      </c>
      <c r="D18">
        <v>505951.88000000053</v>
      </c>
      <c r="E18">
        <v>206181.02000000019</v>
      </c>
      <c r="F18">
        <f>_xlfn.RANK.EQ(EDA_01_PERFORMANCE_SKU[[#This Row],[CA]],EDA_01_PERFORMANCE_SKU[CA],0)</f>
        <v>17</v>
      </c>
      <c r="G18" s="1">
        <f>EDA_01_PERFORMANCE_SKU[[#This Row],[CA]]/SUM(EDA_01_PERFORMANCE_SKU[CA])</f>
        <v>2.1304544835798234E-2</v>
      </c>
      <c r="H18">
        <f>SUMIF(EDA_01_PERFORMANCE_SKU[Rang_CA],"&lt;="&amp;EDA_01_PERFORMANCE_SKU[[#This Row],[Rang_CA]],EDA_01_PERFORMANCE_SKU[CA])</f>
        <v>13510857.939999998</v>
      </c>
      <c r="I18" s="1">
        <f>EDA_01_PERFORMANCE_SKU[[#This Row],[CA_Cumule]]/SUM(EDA_01_PERFORMANCE_SKU[CA])</f>
        <v>0.40419797870991508</v>
      </c>
      <c r="J18" t="str">
        <f>IF(EDA_01_PERFORMANCE_SKU[[#This Row],[%_CA_Cumule]]&lt;20%,"A", IF(EDA_01_PERFORMANCE_SKU[[#This Row],[%_CA_Cumule]]&lt;50%,"B", IF(EDA_01_PERFORMANCE_SKU[[#This Row],[%_CA_Cumule]]&lt;80%,"C","D")))</f>
        <v>B</v>
      </c>
      <c r="K18">
        <f>_xlfn.RANK.EQ(EDA_01_PERFORMANCE_SKU[[#This Row],[Marge_Brute]],EDA_01_PERFORMANCE_SKU[Marge_Brute],0)</f>
        <v>27</v>
      </c>
      <c r="L18">
        <f>ABS(EDA_01_PERFORMANCE_SKU[[#This Row],[Rang_CA]]-EDA_01_PERFORMANCE_SKU[[#This Row],[Rang_Marge]])</f>
        <v>10</v>
      </c>
    </row>
    <row r="19" spans="1:18" x14ac:dyDescent="0.25">
      <c r="A19" t="s">
        <v>7</v>
      </c>
      <c r="B19">
        <v>36213</v>
      </c>
      <c r="C19">
        <v>698516.99999999884</v>
      </c>
      <c r="D19">
        <v>437642.43999999977</v>
      </c>
      <c r="E19">
        <v>260874.56000000003</v>
      </c>
      <c r="F19">
        <f>_xlfn.RANK.EQ(EDA_01_PERFORMANCE_SKU[[#This Row],[CA]],EDA_01_PERFORMANCE_SKU[CA],0)</f>
        <v>18</v>
      </c>
      <c r="G19" s="1">
        <f>EDA_01_PERFORMANCE_SKU[[#This Row],[CA]]/SUM(EDA_01_PERFORMANCE_SKU[CA])</f>
        <v>2.0897204363212581E-2</v>
      </c>
      <c r="H19">
        <f>SUMIF(EDA_01_PERFORMANCE_SKU[Rang_CA],"&lt;="&amp;EDA_01_PERFORMANCE_SKU[[#This Row],[Rang_CA]],EDA_01_PERFORMANCE_SKU[CA])</f>
        <v>14209374.939999996</v>
      </c>
      <c r="I19" s="1">
        <f>EDA_01_PERFORMANCE_SKU[[#This Row],[CA_Cumule]]/SUM(EDA_01_PERFORMANCE_SKU[CA])</f>
        <v>0.42509518307312766</v>
      </c>
      <c r="J19" t="str">
        <f>IF(EDA_01_PERFORMANCE_SKU[[#This Row],[%_CA_Cumule]]&lt;20%,"A", IF(EDA_01_PERFORMANCE_SKU[[#This Row],[%_CA_Cumule]]&lt;50%,"B", IF(EDA_01_PERFORMANCE_SKU[[#This Row],[%_CA_Cumule]]&lt;80%,"C","D")))</f>
        <v>B</v>
      </c>
      <c r="K19">
        <f>_xlfn.RANK.EQ(EDA_01_PERFORMANCE_SKU[[#This Row],[Marge_Brute]],EDA_01_PERFORMANCE_SKU[Marge_Brute],0)</f>
        <v>13</v>
      </c>
      <c r="L19">
        <f>ABS(EDA_01_PERFORMANCE_SKU[[#This Row],[Rang_CA]]-EDA_01_PERFORMANCE_SKU[[#This Row],[Rang_Marge]])</f>
        <v>5</v>
      </c>
    </row>
    <row r="20" spans="1:18" x14ac:dyDescent="0.25">
      <c r="A20" t="s">
        <v>30</v>
      </c>
      <c r="B20">
        <v>36737</v>
      </c>
      <c r="C20">
        <v>695975.2500000007</v>
      </c>
      <c r="D20">
        <v>520550.29999999917</v>
      </c>
      <c r="E20">
        <v>175424.94999999969</v>
      </c>
      <c r="F20">
        <f>_xlfn.RANK.EQ(EDA_01_PERFORMANCE_SKU[[#This Row],[CA]],EDA_01_PERFORMANCE_SKU[CA],0)</f>
        <v>19</v>
      </c>
      <c r="G20" s="1">
        <f>EDA_01_PERFORMANCE_SKU[[#This Row],[CA]]/SUM(EDA_01_PERFORMANCE_SKU[CA])</f>
        <v>2.0821164024623605E-2</v>
      </c>
      <c r="H20">
        <f>SUMIF(EDA_01_PERFORMANCE_SKU[Rang_CA],"&lt;="&amp;EDA_01_PERFORMANCE_SKU[[#This Row],[Rang_CA]],EDA_01_PERFORMANCE_SKU[CA])</f>
        <v>14905350.189999996</v>
      </c>
      <c r="I20" s="1">
        <f>EDA_01_PERFORMANCE_SKU[[#This Row],[CA_Cumule]]/SUM(EDA_01_PERFORMANCE_SKU[CA])</f>
        <v>0.44591634709775124</v>
      </c>
      <c r="J20" t="str">
        <f>IF(EDA_01_PERFORMANCE_SKU[[#This Row],[%_CA_Cumule]]&lt;20%,"A", IF(EDA_01_PERFORMANCE_SKU[[#This Row],[%_CA_Cumule]]&lt;50%,"B", IF(EDA_01_PERFORMANCE_SKU[[#This Row],[%_CA_Cumule]]&lt;80%,"C","D")))</f>
        <v>B</v>
      </c>
      <c r="K20">
        <f>_xlfn.RANK.EQ(EDA_01_PERFORMANCE_SKU[[#This Row],[Marge_Brute]],EDA_01_PERFORMANCE_SKU[Marge_Brute],0)</f>
        <v>40</v>
      </c>
      <c r="L20">
        <f>ABS(EDA_01_PERFORMANCE_SKU[[#This Row],[Rang_CA]]-EDA_01_PERFORMANCE_SKU[[#This Row],[Rang_Marge]])</f>
        <v>21</v>
      </c>
    </row>
    <row r="21" spans="1:18" x14ac:dyDescent="0.25">
      <c r="A21" t="s">
        <v>40</v>
      </c>
      <c r="B21">
        <v>36583</v>
      </c>
      <c r="C21">
        <v>682971.10000000161</v>
      </c>
      <c r="D21">
        <v>414367.24000000115</v>
      </c>
      <c r="E21">
        <v>268603.85999999975</v>
      </c>
      <c r="F21">
        <f>_xlfn.RANK.EQ(EDA_01_PERFORMANCE_SKU[[#This Row],[CA]],EDA_01_PERFORMANCE_SKU[CA],0)</f>
        <v>20</v>
      </c>
      <c r="G21" s="1">
        <f>EDA_01_PERFORMANCE_SKU[[#This Row],[CA]]/SUM(EDA_01_PERFORMANCE_SKU[CA])</f>
        <v>2.0432124988895264E-2</v>
      </c>
      <c r="H21">
        <f>SUMIF(EDA_01_PERFORMANCE_SKU[Rang_CA],"&lt;="&amp;EDA_01_PERFORMANCE_SKU[[#This Row],[Rang_CA]],EDA_01_PERFORMANCE_SKU[CA])</f>
        <v>15588321.289999997</v>
      </c>
      <c r="I21" s="1">
        <f>EDA_01_PERFORMANCE_SKU[[#This Row],[CA_Cumule]]/SUM(EDA_01_PERFORMANCE_SKU[CA])</f>
        <v>0.46634847208664648</v>
      </c>
      <c r="J21" t="str">
        <f>IF(EDA_01_PERFORMANCE_SKU[[#This Row],[%_CA_Cumule]]&lt;20%,"A", IF(EDA_01_PERFORMANCE_SKU[[#This Row],[%_CA_Cumule]]&lt;50%,"B", IF(EDA_01_PERFORMANCE_SKU[[#This Row],[%_CA_Cumule]]&lt;80%,"C","D")))</f>
        <v>B</v>
      </c>
      <c r="K21">
        <f>_xlfn.RANK.EQ(EDA_01_PERFORMANCE_SKU[[#This Row],[Marge_Brute]],EDA_01_PERFORMANCE_SKU[Marge_Brute],0)</f>
        <v>9</v>
      </c>
      <c r="L21">
        <f>ABS(EDA_01_PERFORMANCE_SKU[[#This Row],[Rang_CA]]-EDA_01_PERFORMANCE_SKU[[#This Row],[Rang_Marge]])</f>
        <v>11</v>
      </c>
    </row>
    <row r="22" spans="1:18" x14ac:dyDescent="0.25">
      <c r="A22" t="s">
        <v>33</v>
      </c>
      <c r="B22">
        <v>36647</v>
      </c>
      <c r="C22">
        <v>673421.18000000028</v>
      </c>
      <c r="D22">
        <v>518434.45999999985</v>
      </c>
      <c r="E22">
        <v>154986.72000000026</v>
      </c>
      <c r="F22">
        <f>_xlfn.RANK.EQ(EDA_01_PERFORMANCE_SKU[[#This Row],[CA]],EDA_01_PERFORMANCE_SKU[CA],0)</f>
        <v>21</v>
      </c>
      <c r="G22" s="1">
        <f>EDA_01_PERFORMANCE_SKU[[#This Row],[CA]]/SUM(EDA_01_PERFORMANCE_SKU[CA])</f>
        <v>2.0146424526497987E-2</v>
      </c>
      <c r="H22">
        <f>SUMIF(EDA_01_PERFORMANCE_SKU[Rang_CA],"&lt;="&amp;EDA_01_PERFORMANCE_SKU[[#This Row],[Rang_CA]],EDA_01_PERFORMANCE_SKU[CA])</f>
        <v>16261742.469999997</v>
      </c>
      <c r="I22" s="1">
        <f>EDA_01_PERFORMANCE_SKU[[#This Row],[CA_Cumule]]/SUM(EDA_01_PERFORMANCE_SKU[CA])</f>
        <v>0.48649489661314449</v>
      </c>
      <c r="J22" t="str">
        <f>IF(EDA_01_PERFORMANCE_SKU[[#This Row],[%_CA_Cumule]]&lt;20%,"A", IF(EDA_01_PERFORMANCE_SKU[[#This Row],[%_CA_Cumule]]&lt;50%,"B", IF(EDA_01_PERFORMANCE_SKU[[#This Row],[%_CA_Cumule]]&lt;80%,"C","D")))</f>
        <v>B</v>
      </c>
      <c r="K22">
        <f>_xlfn.RANK.EQ(EDA_01_PERFORMANCE_SKU[[#This Row],[Marge_Brute]],EDA_01_PERFORMANCE_SKU[Marge_Brute],0)</f>
        <v>47</v>
      </c>
      <c r="L22">
        <f>ABS(EDA_01_PERFORMANCE_SKU[[#This Row],[Rang_CA]]-EDA_01_PERFORMANCE_SKU[[#This Row],[Rang_Marge]])</f>
        <v>26</v>
      </c>
    </row>
    <row r="23" spans="1:18" x14ac:dyDescent="0.25">
      <c r="A23" t="s">
        <v>34</v>
      </c>
      <c r="B23">
        <v>37012</v>
      </c>
      <c r="C23">
        <v>673070.84</v>
      </c>
      <c r="D23">
        <v>440022.66000000091</v>
      </c>
      <c r="E23">
        <v>233048.17999999982</v>
      </c>
      <c r="F23">
        <f>_xlfn.RANK.EQ(EDA_01_PERFORMANCE_SKU[[#This Row],[CA]],EDA_01_PERFORMANCE_SKU[CA],0)</f>
        <v>22</v>
      </c>
      <c r="G23" s="1">
        <f>EDA_01_PERFORMANCE_SKU[[#This Row],[CA]]/SUM(EDA_01_PERFORMANCE_SKU[CA])</f>
        <v>2.013594356958983E-2</v>
      </c>
      <c r="H23">
        <f>SUMIF(EDA_01_PERFORMANCE_SKU[Rang_CA],"&lt;="&amp;EDA_01_PERFORMANCE_SKU[[#This Row],[Rang_CA]],EDA_01_PERFORMANCE_SKU[CA])</f>
        <v>16934813.309999999</v>
      </c>
      <c r="I23" s="1">
        <f>EDA_01_PERFORMANCE_SKU[[#This Row],[CA_Cumule]]/SUM(EDA_01_PERFORMANCE_SKU[CA])</f>
        <v>0.5066308401827343</v>
      </c>
      <c r="J23" t="str">
        <f>IF(EDA_01_PERFORMANCE_SKU[[#This Row],[%_CA_Cumule]]&lt;20%,"A", IF(EDA_01_PERFORMANCE_SKU[[#This Row],[%_CA_Cumule]]&lt;50%,"B", IF(EDA_01_PERFORMANCE_SKU[[#This Row],[%_CA_Cumule]]&lt;80%,"C","D")))</f>
        <v>C</v>
      </c>
      <c r="K23">
        <f>_xlfn.RANK.EQ(EDA_01_PERFORMANCE_SKU[[#This Row],[Marge_Brute]],EDA_01_PERFORMANCE_SKU[Marge_Brute],0)</f>
        <v>18</v>
      </c>
      <c r="L23">
        <f>ABS(EDA_01_PERFORMANCE_SKU[[#This Row],[Rang_CA]]-EDA_01_PERFORMANCE_SKU[[#This Row],[Rang_Marge]])</f>
        <v>4</v>
      </c>
    </row>
    <row r="24" spans="1:18" ht="15" customHeight="1" x14ac:dyDescent="0.25">
      <c r="A24" t="s">
        <v>20</v>
      </c>
      <c r="B24">
        <v>36255</v>
      </c>
      <c r="C24">
        <v>672297.63</v>
      </c>
      <c r="D24">
        <v>439898.02999999985</v>
      </c>
      <c r="E24">
        <v>232399.60000000009</v>
      </c>
      <c r="F24">
        <f>_xlfn.RANK.EQ(EDA_01_PERFORMANCE_SKU[[#This Row],[CA]],EDA_01_PERFORMANCE_SKU[CA],0)</f>
        <v>23</v>
      </c>
      <c r="G24" s="1">
        <f>EDA_01_PERFORMANCE_SKU[[#This Row],[CA]]/SUM(EDA_01_PERFORMANCE_SKU[CA])</f>
        <v>2.011281180989654E-2</v>
      </c>
      <c r="H24">
        <f>SUMIF(EDA_01_PERFORMANCE_SKU[Rang_CA],"&lt;="&amp;EDA_01_PERFORMANCE_SKU[[#This Row],[Rang_CA]],EDA_01_PERFORMANCE_SKU[CA])</f>
        <v>17607110.939999998</v>
      </c>
      <c r="I24" s="1">
        <f>EDA_01_PERFORMANCE_SKU[[#This Row],[CA_Cumule]]/SUM(EDA_01_PERFORMANCE_SKU[CA])</f>
        <v>0.52674365199263085</v>
      </c>
      <c r="J24" t="str">
        <f>IF(EDA_01_PERFORMANCE_SKU[[#This Row],[%_CA_Cumule]]&lt;20%,"A", IF(EDA_01_PERFORMANCE_SKU[[#This Row],[%_CA_Cumule]]&lt;50%,"B", IF(EDA_01_PERFORMANCE_SKU[[#This Row],[%_CA_Cumule]]&lt;80%,"C","D")))</f>
        <v>C</v>
      </c>
      <c r="K24">
        <f>_xlfn.RANK.EQ(EDA_01_PERFORMANCE_SKU[[#This Row],[Marge_Brute]],EDA_01_PERFORMANCE_SKU[Marge_Brute],0)</f>
        <v>19</v>
      </c>
      <c r="L24">
        <f>ABS(EDA_01_PERFORMANCE_SKU[[#This Row],[Rang_CA]]-EDA_01_PERFORMANCE_SKU[[#This Row],[Rang_Marge]])</f>
        <v>4</v>
      </c>
      <c r="N24" s="5" t="s">
        <v>70</v>
      </c>
      <c r="O24" s="5"/>
      <c r="P24" s="5"/>
      <c r="Q24" s="5"/>
      <c r="R24" s="5"/>
    </row>
    <row r="25" spans="1:18" x14ac:dyDescent="0.25">
      <c r="A25" t="s">
        <v>17</v>
      </c>
      <c r="B25">
        <v>36496</v>
      </c>
      <c r="C25">
        <v>671339.79999999888</v>
      </c>
      <c r="D25">
        <v>458535.109999999</v>
      </c>
      <c r="E25">
        <v>212804.68999999971</v>
      </c>
      <c r="F25">
        <f>_xlfn.RANK.EQ(EDA_01_PERFORMANCE_SKU[[#This Row],[CA]],EDA_01_PERFORMANCE_SKU[CA],0)</f>
        <v>24</v>
      </c>
      <c r="G25" s="1">
        <f>EDA_01_PERFORMANCE_SKU[[#This Row],[CA]]/SUM(EDA_01_PERFORMANCE_SKU[CA])</f>
        <v>2.0084156860546359E-2</v>
      </c>
      <c r="H25">
        <f>SUMIF(EDA_01_PERFORMANCE_SKU[Rang_CA],"&lt;="&amp;EDA_01_PERFORMANCE_SKU[[#This Row],[Rang_CA]],EDA_01_PERFORMANCE_SKU[CA])</f>
        <v>18278450.739999995</v>
      </c>
      <c r="I25" s="1">
        <f>EDA_01_PERFORMANCE_SKU[[#This Row],[CA_Cumule]]/SUM(EDA_01_PERFORMANCE_SKU[CA])</f>
        <v>0.54682780885317717</v>
      </c>
      <c r="J25" t="str">
        <f>IF(EDA_01_PERFORMANCE_SKU[[#This Row],[%_CA_Cumule]]&lt;20%,"A", IF(EDA_01_PERFORMANCE_SKU[[#This Row],[%_CA_Cumule]]&lt;50%,"B", IF(EDA_01_PERFORMANCE_SKU[[#This Row],[%_CA_Cumule]]&lt;80%,"C","D")))</f>
        <v>C</v>
      </c>
      <c r="K25">
        <f>_xlfn.RANK.EQ(EDA_01_PERFORMANCE_SKU[[#This Row],[Marge_Brute]],EDA_01_PERFORMANCE_SKU[Marge_Brute],0)</f>
        <v>25</v>
      </c>
      <c r="L25">
        <f>ABS(EDA_01_PERFORMANCE_SKU[[#This Row],[Rang_CA]]-EDA_01_PERFORMANCE_SKU[[#This Row],[Rang_Marge]])</f>
        <v>1</v>
      </c>
      <c r="N25" s="5"/>
      <c r="O25" s="5"/>
      <c r="P25" s="5"/>
      <c r="Q25" s="5"/>
      <c r="R25" s="5"/>
    </row>
    <row r="26" spans="1:18" x14ac:dyDescent="0.25">
      <c r="A26" t="s">
        <v>4</v>
      </c>
      <c r="B26">
        <v>36785</v>
      </c>
      <c r="C26">
        <v>668701.0900000002</v>
      </c>
      <c r="D26">
        <v>415009.70000000048</v>
      </c>
      <c r="E26">
        <v>253691.3900000001</v>
      </c>
      <c r="F26">
        <f>_xlfn.RANK.EQ(EDA_01_PERFORMANCE_SKU[[#This Row],[CA]],EDA_01_PERFORMANCE_SKU[CA],0)</f>
        <v>25</v>
      </c>
      <c r="G26" s="1">
        <f>EDA_01_PERFORMANCE_SKU[[#This Row],[CA]]/SUM(EDA_01_PERFORMANCE_SKU[CA])</f>
        <v>2.0005215815267253E-2</v>
      </c>
      <c r="H26">
        <f>SUMIF(EDA_01_PERFORMANCE_SKU[Rang_CA],"&lt;="&amp;EDA_01_PERFORMANCE_SKU[[#This Row],[Rang_CA]],EDA_01_PERFORMANCE_SKU[CA])</f>
        <v>18947151.829999994</v>
      </c>
      <c r="I26" s="1">
        <f>EDA_01_PERFORMANCE_SKU[[#This Row],[CA_Cumule]]/SUM(EDA_01_PERFORMANCE_SKU[CA])</f>
        <v>0.56683302466844443</v>
      </c>
      <c r="J26" t="str">
        <f>IF(EDA_01_PERFORMANCE_SKU[[#This Row],[%_CA_Cumule]]&lt;20%,"A", IF(EDA_01_PERFORMANCE_SKU[[#This Row],[%_CA_Cumule]]&lt;50%,"B", IF(EDA_01_PERFORMANCE_SKU[[#This Row],[%_CA_Cumule]]&lt;80%,"C","D")))</f>
        <v>C</v>
      </c>
      <c r="K26">
        <f>_xlfn.RANK.EQ(EDA_01_PERFORMANCE_SKU[[#This Row],[Marge_Brute]],EDA_01_PERFORMANCE_SKU[Marge_Brute],0)</f>
        <v>16</v>
      </c>
      <c r="L26">
        <f>ABS(EDA_01_PERFORMANCE_SKU[[#This Row],[Rang_CA]]-EDA_01_PERFORMANCE_SKU[[#This Row],[Rang_Marge]])</f>
        <v>9</v>
      </c>
      <c r="N26" s="5"/>
      <c r="O26" s="5"/>
      <c r="P26" s="5"/>
      <c r="Q26" s="5"/>
      <c r="R26" s="5"/>
    </row>
    <row r="27" spans="1:18" x14ac:dyDescent="0.25">
      <c r="A27" t="s">
        <v>28</v>
      </c>
      <c r="B27">
        <v>36423</v>
      </c>
      <c r="C27">
        <v>665868.12999999966</v>
      </c>
      <c r="D27">
        <v>459960.09999999969</v>
      </c>
      <c r="E27">
        <v>205908.03000000003</v>
      </c>
      <c r="F27">
        <f>_xlfn.RANK.EQ(EDA_01_PERFORMANCE_SKU[[#This Row],[CA]],EDA_01_PERFORMANCE_SKU[CA],0)</f>
        <v>26</v>
      </c>
      <c r="G27" s="1">
        <f>EDA_01_PERFORMANCE_SKU[[#This Row],[CA]]/SUM(EDA_01_PERFORMANCE_SKU[CA])</f>
        <v>1.9920463484153168E-2</v>
      </c>
      <c r="H27">
        <f>SUMIF(EDA_01_PERFORMANCE_SKU[Rang_CA],"&lt;="&amp;EDA_01_PERFORMANCE_SKU[[#This Row],[Rang_CA]],EDA_01_PERFORMANCE_SKU[CA])</f>
        <v>19613019.959999993</v>
      </c>
      <c r="I27" s="1">
        <f>EDA_01_PERFORMANCE_SKU[[#This Row],[CA_Cumule]]/SUM(EDA_01_PERFORMANCE_SKU[CA])</f>
        <v>0.58675348815259754</v>
      </c>
      <c r="J27" t="str">
        <f>IF(EDA_01_PERFORMANCE_SKU[[#This Row],[%_CA_Cumule]]&lt;20%,"A", IF(EDA_01_PERFORMANCE_SKU[[#This Row],[%_CA_Cumule]]&lt;50%,"B", IF(EDA_01_PERFORMANCE_SKU[[#This Row],[%_CA_Cumule]]&lt;80%,"C","D")))</f>
        <v>C</v>
      </c>
      <c r="K27">
        <f>_xlfn.RANK.EQ(EDA_01_PERFORMANCE_SKU[[#This Row],[Marge_Brute]],EDA_01_PERFORMANCE_SKU[Marge_Brute],0)</f>
        <v>28</v>
      </c>
      <c r="L27">
        <f>ABS(EDA_01_PERFORMANCE_SKU[[#This Row],[Rang_CA]]-EDA_01_PERFORMANCE_SKU[[#This Row],[Rang_Marge]])</f>
        <v>2</v>
      </c>
      <c r="N27" s="5"/>
      <c r="O27" s="5"/>
      <c r="P27" s="5"/>
      <c r="Q27" s="5"/>
      <c r="R27" s="5"/>
    </row>
    <row r="28" spans="1:18" x14ac:dyDescent="0.25">
      <c r="A28" t="s">
        <v>44</v>
      </c>
      <c r="B28">
        <v>36535</v>
      </c>
      <c r="C28">
        <v>646114.54999999958</v>
      </c>
      <c r="D28">
        <v>443451.54999999993</v>
      </c>
      <c r="E28">
        <v>202663.0000000002</v>
      </c>
      <c r="F28">
        <f>_xlfn.RANK.EQ(EDA_01_PERFORMANCE_SKU[[#This Row],[CA]],EDA_01_PERFORMANCE_SKU[CA],0)</f>
        <v>27</v>
      </c>
      <c r="G28" s="1">
        <f>EDA_01_PERFORMANCE_SKU[[#This Row],[CA]]/SUM(EDA_01_PERFORMANCE_SKU[CA])</f>
        <v>1.9329504927432184E-2</v>
      </c>
      <c r="H28">
        <f>SUMIF(EDA_01_PERFORMANCE_SKU[Rang_CA],"&lt;="&amp;EDA_01_PERFORMANCE_SKU[[#This Row],[Rang_CA]],EDA_01_PERFORMANCE_SKU[CA])</f>
        <v>20259134.509999994</v>
      </c>
      <c r="I28" s="1">
        <f>EDA_01_PERFORMANCE_SKU[[#This Row],[CA_Cumule]]/SUM(EDA_01_PERFORMANCE_SKU[CA])</f>
        <v>0.60608299308002977</v>
      </c>
      <c r="J28" t="str">
        <f>IF(EDA_01_PERFORMANCE_SKU[[#This Row],[%_CA_Cumule]]&lt;20%,"A", IF(EDA_01_PERFORMANCE_SKU[[#This Row],[%_CA_Cumule]]&lt;50%,"B", IF(EDA_01_PERFORMANCE_SKU[[#This Row],[%_CA_Cumule]]&lt;80%,"C","D")))</f>
        <v>C</v>
      </c>
      <c r="K28">
        <f>_xlfn.RANK.EQ(EDA_01_PERFORMANCE_SKU[[#This Row],[Marge_Brute]],EDA_01_PERFORMANCE_SKU[Marge_Brute],0)</f>
        <v>31</v>
      </c>
      <c r="L28">
        <f>ABS(EDA_01_PERFORMANCE_SKU[[#This Row],[Rang_CA]]-EDA_01_PERFORMANCE_SKU[[#This Row],[Rang_Marge]])</f>
        <v>4</v>
      </c>
      <c r="N28" s="5"/>
      <c r="O28" s="5"/>
      <c r="P28" s="5"/>
      <c r="Q28" s="5"/>
      <c r="R28" s="5"/>
    </row>
    <row r="29" spans="1:18" x14ac:dyDescent="0.25">
      <c r="A29" t="s">
        <v>19</v>
      </c>
      <c r="B29">
        <v>37234</v>
      </c>
      <c r="C29">
        <v>644766.5299999998</v>
      </c>
      <c r="D29">
        <v>448393.36999999965</v>
      </c>
      <c r="E29">
        <v>196373.16000000041</v>
      </c>
      <c r="F29">
        <f>_xlfn.RANK.EQ(EDA_01_PERFORMANCE_SKU[[#This Row],[CA]],EDA_01_PERFORMANCE_SKU[CA],0)</f>
        <v>28</v>
      </c>
      <c r="G29" s="1">
        <f>EDA_01_PERFORMANCE_SKU[[#This Row],[CA]]/SUM(EDA_01_PERFORMANCE_SKU[CA])</f>
        <v>1.9289176847477517E-2</v>
      </c>
      <c r="H29">
        <f>SUMIF(EDA_01_PERFORMANCE_SKU[Rang_CA],"&lt;="&amp;EDA_01_PERFORMANCE_SKU[[#This Row],[Rang_CA]],EDA_01_PERFORMANCE_SKU[CA])</f>
        <v>20903901.039999995</v>
      </c>
      <c r="I29" s="1">
        <f>EDA_01_PERFORMANCE_SKU[[#This Row],[CA_Cumule]]/SUM(EDA_01_PERFORMANCE_SKU[CA])</f>
        <v>0.62537216992750733</v>
      </c>
      <c r="J29" t="str">
        <f>IF(EDA_01_PERFORMANCE_SKU[[#This Row],[%_CA_Cumule]]&lt;20%,"A", IF(EDA_01_PERFORMANCE_SKU[[#This Row],[%_CA_Cumule]]&lt;50%,"B", IF(EDA_01_PERFORMANCE_SKU[[#This Row],[%_CA_Cumule]]&lt;80%,"C","D")))</f>
        <v>C</v>
      </c>
      <c r="K29">
        <f>_xlfn.RANK.EQ(EDA_01_PERFORMANCE_SKU[[#This Row],[Marge_Brute]],EDA_01_PERFORMANCE_SKU[Marge_Brute],0)</f>
        <v>32</v>
      </c>
      <c r="L29">
        <f>ABS(EDA_01_PERFORMANCE_SKU[[#This Row],[Rang_CA]]-EDA_01_PERFORMANCE_SKU[[#This Row],[Rang_Marge]])</f>
        <v>4</v>
      </c>
      <c r="N29" s="5"/>
      <c r="O29" s="5"/>
      <c r="P29" s="5"/>
      <c r="Q29" s="5"/>
      <c r="R29" s="5"/>
    </row>
    <row r="30" spans="1:18" x14ac:dyDescent="0.25">
      <c r="A30" t="s">
        <v>36</v>
      </c>
      <c r="B30">
        <v>36441</v>
      </c>
      <c r="C30">
        <v>643114.31000000029</v>
      </c>
      <c r="D30">
        <v>418078.82999999996</v>
      </c>
      <c r="E30">
        <v>225035.47999999975</v>
      </c>
      <c r="F30">
        <f>_xlfn.RANK.EQ(EDA_01_PERFORMANCE_SKU[[#This Row],[CA]],EDA_01_PERFORMANCE_SKU[CA],0)</f>
        <v>29</v>
      </c>
      <c r="G30" s="1">
        <f>EDA_01_PERFORMANCE_SKU[[#This Row],[CA]]/SUM(EDA_01_PERFORMANCE_SKU[CA])</f>
        <v>1.9239748159280985E-2</v>
      </c>
      <c r="H30">
        <f>SUMIF(EDA_01_PERFORMANCE_SKU[Rang_CA],"&lt;="&amp;EDA_01_PERFORMANCE_SKU[[#This Row],[Rang_CA]],EDA_01_PERFORMANCE_SKU[CA])</f>
        <v>21547015.349999994</v>
      </c>
      <c r="I30" s="1">
        <f>EDA_01_PERFORMANCE_SKU[[#This Row],[CA_Cumule]]/SUM(EDA_01_PERFORMANCE_SKU[CA])</f>
        <v>0.6446119180867883</v>
      </c>
      <c r="J30" t="str">
        <f>IF(EDA_01_PERFORMANCE_SKU[[#This Row],[%_CA_Cumule]]&lt;20%,"A", IF(EDA_01_PERFORMANCE_SKU[[#This Row],[%_CA_Cumule]]&lt;50%,"B", IF(EDA_01_PERFORMANCE_SKU[[#This Row],[%_CA_Cumule]]&lt;80%,"C","D")))</f>
        <v>C</v>
      </c>
      <c r="K30">
        <f>_xlfn.RANK.EQ(EDA_01_PERFORMANCE_SKU[[#This Row],[Marge_Brute]],EDA_01_PERFORMANCE_SKU[Marge_Brute],0)</f>
        <v>21</v>
      </c>
      <c r="L30">
        <f>ABS(EDA_01_PERFORMANCE_SKU[[#This Row],[Rang_CA]]-EDA_01_PERFORMANCE_SKU[[#This Row],[Rang_Marge]])</f>
        <v>8</v>
      </c>
    </row>
    <row r="31" spans="1:18" x14ac:dyDescent="0.25">
      <c r="A31" t="s">
        <v>22</v>
      </c>
      <c r="B31">
        <v>36406</v>
      </c>
      <c r="C31">
        <v>636619.59999999916</v>
      </c>
      <c r="D31">
        <v>431672.3500000005</v>
      </c>
      <c r="E31">
        <v>204947.24999999997</v>
      </c>
      <c r="F31">
        <f>_xlfn.RANK.EQ(EDA_01_PERFORMANCE_SKU[[#This Row],[CA]],EDA_01_PERFORMANCE_SKU[CA],0)</f>
        <v>30</v>
      </c>
      <c r="G31" s="1">
        <f>EDA_01_PERFORMANCE_SKU[[#This Row],[CA]]/SUM(EDA_01_PERFORMANCE_SKU[CA])</f>
        <v>1.9045448976655763E-2</v>
      </c>
      <c r="H31">
        <f>SUMIF(EDA_01_PERFORMANCE_SKU[Rang_CA],"&lt;="&amp;EDA_01_PERFORMANCE_SKU[[#This Row],[Rang_CA]],EDA_01_PERFORMANCE_SKU[CA])</f>
        <v>22183634.949999992</v>
      </c>
      <c r="I31" s="1">
        <f>EDA_01_PERFORMANCE_SKU[[#This Row],[CA_Cumule]]/SUM(EDA_01_PERFORMANCE_SKU[CA])</f>
        <v>0.66365736706344403</v>
      </c>
      <c r="J31" t="str">
        <f>IF(EDA_01_PERFORMANCE_SKU[[#This Row],[%_CA_Cumule]]&lt;20%,"A", IF(EDA_01_PERFORMANCE_SKU[[#This Row],[%_CA_Cumule]]&lt;50%,"B", IF(EDA_01_PERFORMANCE_SKU[[#This Row],[%_CA_Cumule]]&lt;80%,"C","D")))</f>
        <v>C</v>
      </c>
      <c r="K31">
        <f>_xlfn.RANK.EQ(EDA_01_PERFORMANCE_SKU[[#This Row],[Marge_Brute]],EDA_01_PERFORMANCE_SKU[Marge_Brute],0)</f>
        <v>30</v>
      </c>
      <c r="L31">
        <f>ABS(EDA_01_PERFORMANCE_SKU[[#This Row],[Rang_CA]]-EDA_01_PERFORMANCE_SKU[[#This Row],[Rang_Marge]])</f>
        <v>0</v>
      </c>
    </row>
    <row r="32" spans="1:18" x14ac:dyDescent="0.25">
      <c r="A32" t="s">
        <v>51</v>
      </c>
      <c r="B32">
        <v>36604</v>
      </c>
      <c r="C32">
        <v>634011.00000000081</v>
      </c>
      <c r="D32">
        <v>440173.77999999945</v>
      </c>
      <c r="E32">
        <v>193837.21999999983</v>
      </c>
      <c r="F32">
        <f>_xlfn.RANK.EQ(EDA_01_PERFORMANCE_SKU[[#This Row],[CA]],EDA_01_PERFORMANCE_SKU[CA],0)</f>
        <v>31</v>
      </c>
      <c r="G32" s="1">
        <f>EDA_01_PERFORMANCE_SKU[[#This Row],[CA]]/SUM(EDA_01_PERFORMANCE_SKU[CA])</f>
        <v>1.8967408718076742E-2</v>
      </c>
      <c r="H32">
        <f>SUMIF(EDA_01_PERFORMANCE_SKU[Rang_CA],"&lt;="&amp;EDA_01_PERFORMANCE_SKU[[#This Row],[Rang_CA]],EDA_01_PERFORMANCE_SKU[CA])</f>
        <v>22817645.949999992</v>
      </c>
      <c r="I32" s="1">
        <f>EDA_01_PERFORMANCE_SKU[[#This Row],[CA_Cumule]]/SUM(EDA_01_PERFORMANCE_SKU[CA])</f>
        <v>0.6826247757815207</v>
      </c>
      <c r="J32" t="str">
        <f>IF(EDA_01_PERFORMANCE_SKU[[#This Row],[%_CA_Cumule]]&lt;20%,"A", IF(EDA_01_PERFORMANCE_SKU[[#This Row],[%_CA_Cumule]]&lt;50%,"B", IF(EDA_01_PERFORMANCE_SKU[[#This Row],[%_CA_Cumule]]&lt;80%,"C","D")))</f>
        <v>C</v>
      </c>
      <c r="K32">
        <f>_xlfn.RANK.EQ(EDA_01_PERFORMANCE_SKU[[#This Row],[Marge_Brute]],EDA_01_PERFORMANCE_SKU[Marge_Brute],0)</f>
        <v>33</v>
      </c>
      <c r="L32">
        <f>ABS(EDA_01_PERFORMANCE_SKU[[#This Row],[Rang_CA]]-EDA_01_PERFORMANCE_SKU[[#This Row],[Rang_Marge]])</f>
        <v>2</v>
      </c>
    </row>
    <row r="33" spans="1:12" x14ac:dyDescent="0.25">
      <c r="A33" t="s">
        <v>27</v>
      </c>
      <c r="B33">
        <v>36398</v>
      </c>
      <c r="C33">
        <v>623326.53999999946</v>
      </c>
      <c r="D33">
        <v>438327.51999999955</v>
      </c>
      <c r="E33">
        <v>184999.02000000025</v>
      </c>
      <c r="F33">
        <f>_xlfn.RANK.EQ(EDA_01_PERFORMANCE_SKU[[#This Row],[CA]],EDA_01_PERFORMANCE_SKU[CA],0)</f>
        <v>32</v>
      </c>
      <c r="G33" s="1">
        <f>EDA_01_PERFORMANCE_SKU[[#This Row],[CA]]/SUM(EDA_01_PERFORMANCE_SKU[CA])</f>
        <v>1.8647766756419975E-2</v>
      </c>
      <c r="H33">
        <f>SUMIF(EDA_01_PERFORMANCE_SKU[Rang_CA],"&lt;="&amp;EDA_01_PERFORMANCE_SKU[[#This Row],[Rang_CA]],EDA_01_PERFORMANCE_SKU[CA])</f>
        <v>23440972.489999991</v>
      </c>
      <c r="I33" s="1">
        <f>EDA_01_PERFORMANCE_SKU[[#This Row],[CA_Cumule]]/SUM(EDA_01_PERFORMANCE_SKU[CA])</f>
        <v>0.70127254253794069</v>
      </c>
      <c r="J33" t="str">
        <f>IF(EDA_01_PERFORMANCE_SKU[[#This Row],[%_CA_Cumule]]&lt;20%,"A", IF(EDA_01_PERFORMANCE_SKU[[#This Row],[%_CA_Cumule]]&lt;50%,"B", IF(EDA_01_PERFORMANCE_SKU[[#This Row],[%_CA_Cumule]]&lt;80%,"C","D")))</f>
        <v>C</v>
      </c>
      <c r="K33">
        <f>_xlfn.RANK.EQ(EDA_01_PERFORMANCE_SKU[[#This Row],[Marge_Brute]],EDA_01_PERFORMANCE_SKU[Marge_Brute],0)</f>
        <v>37</v>
      </c>
      <c r="L33">
        <f>ABS(EDA_01_PERFORMANCE_SKU[[#This Row],[Rang_CA]]-EDA_01_PERFORMANCE_SKU[[#This Row],[Rang_Marge]])</f>
        <v>5</v>
      </c>
    </row>
    <row r="34" spans="1:12" x14ac:dyDescent="0.25">
      <c r="A34" t="s">
        <v>31</v>
      </c>
      <c r="B34">
        <v>36557</v>
      </c>
      <c r="C34">
        <v>617739.2900000005</v>
      </c>
      <c r="D34">
        <v>401699.39999999944</v>
      </c>
      <c r="E34">
        <v>216039.88999999993</v>
      </c>
      <c r="F34">
        <f>_xlfn.RANK.EQ(EDA_01_PERFORMANCE_SKU[[#This Row],[CA]],EDA_01_PERFORMANCE_SKU[CA],0)</f>
        <v>33</v>
      </c>
      <c r="G34" s="1">
        <f>EDA_01_PERFORMANCE_SKU[[#This Row],[CA]]/SUM(EDA_01_PERFORMANCE_SKU[CA])</f>
        <v>1.8480615627559351E-2</v>
      </c>
      <c r="H34">
        <f>SUMIF(EDA_01_PERFORMANCE_SKU[Rang_CA],"&lt;="&amp;EDA_01_PERFORMANCE_SKU[[#This Row],[Rang_CA]],EDA_01_PERFORMANCE_SKU[CA])</f>
        <v>24058711.77999999</v>
      </c>
      <c r="I34" s="1">
        <f>EDA_01_PERFORMANCE_SKU[[#This Row],[CA_Cumule]]/SUM(EDA_01_PERFORMANCE_SKU[CA])</f>
        <v>0.71975315816550001</v>
      </c>
      <c r="J34" t="str">
        <f>IF(EDA_01_PERFORMANCE_SKU[[#This Row],[%_CA_Cumule]]&lt;20%,"A", IF(EDA_01_PERFORMANCE_SKU[[#This Row],[%_CA_Cumule]]&lt;50%,"B", IF(EDA_01_PERFORMANCE_SKU[[#This Row],[%_CA_Cumule]]&lt;80%,"C","D")))</f>
        <v>C</v>
      </c>
      <c r="K34">
        <f>_xlfn.RANK.EQ(EDA_01_PERFORMANCE_SKU[[#This Row],[Marge_Brute]],EDA_01_PERFORMANCE_SKU[Marge_Brute],0)</f>
        <v>23</v>
      </c>
      <c r="L34">
        <f>ABS(EDA_01_PERFORMANCE_SKU[[#This Row],[Rang_CA]]-EDA_01_PERFORMANCE_SKU[[#This Row],[Rang_Marge]])</f>
        <v>10</v>
      </c>
    </row>
    <row r="35" spans="1:12" x14ac:dyDescent="0.25">
      <c r="A35" t="s">
        <v>2</v>
      </c>
      <c r="B35">
        <v>37026</v>
      </c>
      <c r="C35">
        <v>617298.4</v>
      </c>
      <c r="D35">
        <v>428617.62000000034</v>
      </c>
      <c r="E35">
        <v>188680.78000000035</v>
      </c>
      <c r="F35">
        <f>_xlfn.RANK.EQ(EDA_01_PERFORMANCE_SKU[[#This Row],[CA]],EDA_01_PERFORMANCE_SKU[CA],0)</f>
        <v>34</v>
      </c>
      <c r="G35" s="1">
        <f>EDA_01_PERFORMANCE_SKU[[#This Row],[CA]]/SUM(EDA_01_PERFORMANCE_SKU[CA])</f>
        <v>1.8467425728914497E-2</v>
      </c>
      <c r="H35">
        <f>SUMIF(EDA_01_PERFORMANCE_SKU[Rang_CA],"&lt;="&amp;EDA_01_PERFORMANCE_SKU[[#This Row],[Rang_CA]],EDA_01_PERFORMANCE_SKU[CA])</f>
        <v>24676010.179999989</v>
      </c>
      <c r="I35" s="1">
        <f>EDA_01_PERFORMANCE_SKU[[#This Row],[CA_Cumule]]/SUM(EDA_01_PERFORMANCE_SKU[CA])</f>
        <v>0.73822058389441447</v>
      </c>
      <c r="J35" t="str">
        <f>IF(EDA_01_PERFORMANCE_SKU[[#This Row],[%_CA_Cumule]]&lt;20%,"A", IF(EDA_01_PERFORMANCE_SKU[[#This Row],[%_CA_Cumule]]&lt;50%,"B", IF(EDA_01_PERFORMANCE_SKU[[#This Row],[%_CA_Cumule]]&lt;80%,"C","D")))</f>
        <v>C</v>
      </c>
      <c r="K35">
        <f>_xlfn.RANK.EQ(EDA_01_PERFORMANCE_SKU[[#This Row],[Marge_Brute]],EDA_01_PERFORMANCE_SKU[Marge_Brute],0)</f>
        <v>34</v>
      </c>
      <c r="L35">
        <f>ABS(EDA_01_PERFORMANCE_SKU[[#This Row],[Rang_CA]]-EDA_01_PERFORMANCE_SKU[[#This Row],[Rang_Marge]])</f>
        <v>0</v>
      </c>
    </row>
    <row r="36" spans="1:12" x14ac:dyDescent="0.25">
      <c r="A36" t="s">
        <v>37</v>
      </c>
      <c r="B36">
        <v>36594</v>
      </c>
      <c r="C36">
        <v>604862.62999999989</v>
      </c>
      <c r="D36">
        <v>375074.47000000044</v>
      </c>
      <c r="E36">
        <v>229788.15999999977</v>
      </c>
      <c r="F36">
        <f>_xlfn.RANK.EQ(EDA_01_PERFORMANCE_SKU[[#This Row],[CA]],EDA_01_PERFORMANCE_SKU[CA],0)</f>
        <v>35</v>
      </c>
      <c r="G36" s="1">
        <f>EDA_01_PERFORMANCE_SKU[[#This Row],[CA]]/SUM(EDA_01_PERFORMANCE_SKU[CA])</f>
        <v>1.8095390650163499E-2</v>
      </c>
      <c r="H36">
        <f>SUMIF(EDA_01_PERFORMANCE_SKU[Rang_CA],"&lt;="&amp;EDA_01_PERFORMANCE_SKU[[#This Row],[Rang_CA]],EDA_01_PERFORMANCE_SKU[CA])</f>
        <v>25280872.809999987</v>
      </c>
      <c r="I36" s="1">
        <f>EDA_01_PERFORMANCE_SKU[[#This Row],[CA_Cumule]]/SUM(EDA_01_PERFORMANCE_SKU[CA])</f>
        <v>0.75631597454457788</v>
      </c>
      <c r="J36" t="str">
        <f>IF(EDA_01_PERFORMANCE_SKU[[#This Row],[%_CA_Cumule]]&lt;20%,"A", IF(EDA_01_PERFORMANCE_SKU[[#This Row],[%_CA_Cumule]]&lt;50%,"B", IF(EDA_01_PERFORMANCE_SKU[[#This Row],[%_CA_Cumule]]&lt;80%,"C","D")))</f>
        <v>C</v>
      </c>
      <c r="K36">
        <f>_xlfn.RANK.EQ(EDA_01_PERFORMANCE_SKU[[#This Row],[Marge_Brute]],EDA_01_PERFORMANCE_SKU[Marge_Brute],0)</f>
        <v>20</v>
      </c>
      <c r="L36">
        <f>ABS(EDA_01_PERFORMANCE_SKU[[#This Row],[Rang_CA]]-EDA_01_PERFORMANCE_SKU[[#This Row],[Rang_Marge]])</f>
        <v>15</v>
      </c>
    </row>
    <row r="37" spans="1:12" x14ac:dyDescent="0.25">
      <c r="A37" t="s">
        <v>8</v>
      </c>
      <c r="B37">
        <v>36462</v>
      </c>
      <c r="C37">
        <v>602905.85000000126</v>
      </c>
      <c r="D37">
        <v>397269.13999999961</v>
      </c>
      <c r="E37">
        <v>205636.70999999985</v>
      </c>
      <c r="F37">
        <f>_xlfn.RANK.EQ(EDA_01_PERFORMANCE_SKU[[#This Row],[CA]],EDA_01_PERFORMANCE_SKU[CA],0)</f>
        <v>36</v>
      </c>
      <c r="G37" s="1">
        <f>EDA_01_PERFORMANCE_SKU[[#This Row],[CA]]/SUM(EDA_01_PERFORMANCE_SKU[CA])</f>
        <v>1.8036850583774536E-2</v>
      </c>
      <c r="H37">
        <f>SUMIF(EDA_01_PERFORMANCE_SKU[Rang_CA],"&lt;="&amp;EDA_01_PERFORMANCE_SKU[[#This Row],[Rang_CA]],EDA_01_PERFORMANCE_SKU[CA])</f>
        <v>25883778.659999989</v>
      </c>
      <c r="I37" s="1">
        <f>EDA_01_PERFORMANCE_SKU[[#This Row],[CA_Cumule]]/SUM(EDA_01_PERFORMANCE_SKU[CA])</f>
        <v>0.77435282512835246</v>
      </c>
      <c r="J37" t="str">
        <f>IF(EDA_01_PERFORMANCE_SKU[[#This Row],[%_CA_Cumule]]&lt;20%,"A", IF(EDA_01_PERFORMANCE_SKU[[#This Row],[%_CA_Cumule]]&lt;50%,"B", IF(EDA_01_PERFORMANCE_SKU[[#This Row],[%_CA_Cumule]]&lt;80%,"C","D")))</f>
        <v>C</v>
      </c>
      <c r="K37">
        <f>_xlfn.RANK.EQ(EDA_01_PERFORMANCE_SKU[[#This Row],[Marge_Brute]],EDA_01_PERFORMANCE_SKU[Marge_Brute],0)</f>
        <v>29</v>
      </c>
      <c r="L37">
        <f>ABS(EDA_01_PERFORMANCE_SKU[[#This Row],[Rang_CA]]-EDA_01_PERFORMANCE_SKU[[#This Row],[Rang_Marge]])</f>
        <v>7</v>
      </c>
    </row>
    <row r="38" spans="1:12" x14ac:dyDescent="0.25">
      <c r="A38" t="s">
        <v>10</v>
      </c>
      <c r="B38">
        <v>36855</v>
      </c>
      <c r="C38">
        <v>593421.6599999991</v>
      </c>
      <c r="D38">
        <v>404923.0699999996</v>
      </c>
      <c r="E38">
        <v>188498.59000000011</v>
      </c>
      <c r="F38">
        <f>_xlfn.RANK.EQ(EDA_01_PERFORMANCE_SKU[[#This Row],[CA]],EDA_01_PERFORMANCE_SKU[CA],0)</f>
        <v>37</v>
      </c>
      <c r="G38" s="1">
        <f>EDA_01_PERFORMANCE_SKU[[#This Row],[CA]]/SUM(EDA_01_PERFORMANCE_SKU[CA])</f>
        <v>1.7753116534854348E-2</v>
      </c>
      <c r="H38">
        <f>SUMIF(EDA_01_PERFORMANCE_SKU[Rang_CA],"&lt;="&amp;EDA_01_PERFORMANCE_SKU[[#This Row],[Rang_CA]],EDA_01_PERFORMANCE_SKU[CA])</f>
        <v>26477200.319999989</v>
      </c>
      <c r="I38" s="1">
        <f>EDA_01_PERFORMANCE_SKU[[#This Row],[CA_Cumule]]/SUM(EDA_01_PERFORMANCE_SKU[CA])</f>
        <v>0.7921059416632068</v>
      </c>
      <c r="J38" t="str">
        <f>IF(EDA_01_PERFORMANCE_SKU[[#This Row],[%_CA_Cumule]]&lt;20%,"A", IF(EDA_01_PERFORMANCE_SKU[[#This Row],[%_CA_Cumule]]&lt;50%,"B", IF(EDA_01_PERFORMANCE_SKU[[#This Row],[%_CA_Cumule]]&lt;80%,"C","D")))</f>
        <v>C</v>
      </c>
      <c r="K38">
        <f>_xlfn.RANK.EQ(EDA_01_PERFORMANCE_SKU[[#This Row],[Marge_Brute]],EDA_01_PERFORMANCE_SKU[Marge_Brute],0)</f>
        <v>35</v>
      </c>
      <c r="L38">
        <f>ABS(EDA_01_PERFORMANCE_SKU[[#This Row],[Rang_CA]]-EDA_01_PERFORMANCE_SKU[[#This Row],[Rang_Marge]])</f>
        <v>2</v>
      </c>
    </row>
    <row r="39" spans="1:12" x14ac:dyDescent="0.25">
      <c r="A39" t="s">
        <v>6</v>
      </c>
      <c r="B39">
        <v>36457</v>
      </c>
      <c r="C39">
        <v>590291.53000000038</v>
      </c>
      <c r="D39">
        <v>376893.9599999999</v>
      </c>
      <c r="E39">
        <v>213397.56999999998</v>
      </c>
      <c r="F39">
        <f>_xlfn.RANK.EQ(EDA_01_PERFORMANCE_SKU[[#This Row],[CA]],EDA_01_PERFORMANCE_SKU[CA],0)</f>
        <v>38</v>
      </c>
      <c r="G39" s="1">
        <f>EDA_01_PERFORMANCE_SKU[[#This Row],[CA]]/SUM(EDA_01_PERFORMANCE_SKU[CA])</f>
        <v>1.7659473908700086E-2</v>
      </c>
      <c r="H39">
        <f>SUMIF(EDA_01_PERFORMANCE_SKU[Rang_CA],"&lt;="&amp;EDA_01_PERFORMANCE_SKU[[#This Row],[Rang_CA]],EDA_01_PERFORMANCE_SKU[CA])</f>
        <v>27067491.84999999</v>
      </c>
      <c r="I39" s="1">
        <f>EDA_01_PERFORMANCE_SKU[[#This Row],[CA_Cumule]]/SUM(EDA_01_PERFORMANCE_SKU[CA])</f>
        <v>0.80976541557190695</v>
      </c>
      <c r="J39" t="str">
        <f>IF(EDA_01_PERFORMANCE_SKU[[#This Row],[%_CA_Cumule]]&lt;20%,"A", IF(EDA_01_PERFORMANCE_SKU[[#This Row],[%_CA_Cumule]]&lt;50%,"B", IF(EDA_01_PERFORMANCE_SKU[[#This Row],[%_CA_Cumule]]&lt;80%,"C","D")))</f>
        <v>D</v>
      </c>
      <c r="K39">
        <f>_xlfn.RANK.EQ(EDA_01_PERFORMANCE_SKU[[#This Row],[Marge_Brute]],EDA_01_PERFORMANCE_SKU[Marge_Brute],0)</f>
        <v>24</v>
      </c>
      <c r="L39">
        <f>ABS(EDA_01_PERFORMANCE_SKU[[#This Row],[Rang_CA]]-EDA_01_PERFORMANCE_SKU[[#This Row],[Rang_Marge]])</f>
        <v>14</v>
      </c>
    </row>
    <row r="40" spans="1:12" x14ac:dyDescent="0.25">
      <c r="A40" t="s">
        <v>13</v>
      </c>
      <c r="B40">
        <v>36794</v>
      </c>
      <c r="C40">
        <v>582012.28000000026</v>
      </c>
      <c r="D40">
        <v>432818.21999999986</v>
      </c>
      <c r="E40">
        <v>149194.05999999968</v>
      </c>
      <c r="F40">
        <f>_xlfn.RANK.EQ(EDA_01_PERFORMANCE_SKU[[#This Row],[CA]],EDA_01_PERFORMANCE_SKU[CA],0)</f>
        <v>39</v>
      </c>
      <c r="G40" s="1">
        <f>EDA_01_PERFORMANCE_SKU[[#This Row],[CA]]/SUM(EDA_01_PERFORMANCE_SKU[CA])</f>
        <v>1.7411787482708836E-2</v>
      </c>
      <c r="H40">
        <f>SUMIF(EDA_01_PERFORMANCE_SKU[Rang_CA],"&lt;="&amp;EDA_01_PERFORMANCE_SKU[[#This Row],[Rang_CA]],EDA_01_PERFORMANCE_SKU[CA])</f>
        <v>27649504.129999992</v>
      </c>
      <c r="I40" s="1">
        <f>EDA_01_PERFORMANCE_SKU[[#This Row],[CA_Cumule]]/SUM(EDA_01_PERFORMANCE_SKU[CA])</f>
        <v>0.82717720305461584</v>
      </c>
      <c r="J40" t="str">
        <f>IF(EDA_01_PERFORMANCE_SKU[[#This Row],[%_CA_Cumule]]&lt;20%,"A", IF(EDA_01_PERFORMANCE_SKU[[#This Row],[%_CA_Cumule]]&lt;50%,"B", IF(EDA_01_PERFORMANCE_SKU[[#This Row],[%_CA_Cumule]]&lt;80%,"C","D")))</f>
        <v>D</v>
      </c>
      <c r="K40">
        <f>_xlfn.RANK.EQ(EDA_01_PERFORMANCE_SKU[[#This Row],[Marge_Brute]],EDA_01_PERFORMANCE_SKU[Marge_Brute],0)</f>
        <v>49</v>
      </c>
      <c r="L40">
        <f>ABS(EDA_01_PERFORMANCE_SKU[[#This Row],[Rang_CA]]-EDA_01_PERFORMANCE_SKU[[#This Row],[Rang_Marge]])</f>
        <v>10</v>
      </c>
    </row>
    <row r="41" spans="1:12" x14ac:dyDescent="0.25">
      <c r="A41" t="s">
        <v>25</v>
      </c>
      <c r="B41">
        <v>36381</v>
      </c>
      <c r="C41">
        <v>577503.45000000077</v>
      </c>
      <c r="D41">
        <v>369516.91999999946</v>
      </c>
      <c r="E41">
        <v>207986.5300000002</v>
      </c>
      <c r="F41">
        <f>_xlfn.RANK.EQ(EDA_01_PERFORMANCE_SKU[[#This Row],[CA]],EDA_01_PERFORMANCE_SKU[CA],0)</f>
        <v>40</v>
      </c>
      <c r="G41" s="1">
        <f>EDA_01_PERFORMANCE_SKU[[#This Row],[CA]]/SUM(EDA_01_PERFORMANCE_SKU[CA])</f>
        <v>1.7276898937478049E-2</v>
      </c>
      <c r="H41">
        <f>SUMIF(EDA_01_PERFORMANCE_SKU[Rang_CA],"&lt;="&amp;EDA_01_PERFORMANCE_SKU[[#This Row],[Rang_CA]],EDA_01_PERFORMANCE_SKU[CA])</f>
        <v>28227007.579999991</v>
      </c>
      <c r="I41" s="1">
        <f>EDA_01_PERFORMANCE_SKU[[#This Row],[CA_Cumule]]/SUM(EDA_01_PERFORMANCE_SKU[CA])</f>
        <v>0.84445410199209381</v>
      </c>
      <c r="J41" t="str">
        <f>IF(EDA_01_PERFORMANCE_SKU[[#This Row],[%_CA_Cumule]]&lt;20%,"A", IF(EDA_01_PERFORMANCE_SKU[[#This Row],[%_CA_Cumule]]&lt;50%,"B", IF(EDA_01_PERFORMANCE_SKU[[#This Row],[%_CA_Cumule]]&lt;80%,"C","D")))</f>
        <v>D</v>
      </c>
      <c r="K41">
        <f>_xlfn.RANK.EQ(EDA_01_PERFORMANCE_SKU[[#This Row],[Marge_Brute]],EDA_01_PERFORMANCE_SKU[Marge_Brute],0)</f>
        <v>26</v>
      </c>
      <c r="L41">
        <f>ABS(EDA_01_PERFORMANCE_SKU[[#This Row],[Rang_CA]]-EDA_01_PERFORMANCE_SKU[[#This Row],[Rang_Marge]])</f>
        <v>14</v>
      </c>
    </row>
    <row r="42" spans="1:12" x14ac:dyDescent="0.25">
      <c r="A42" t="s">
        <v>29</v>
      </c>
      <c r="B42">
        <v>36481</v>
      </c>
      <c r="C42">
        <v>577000.84000000032</v>
      </c>
      <c r="D42">
        <v>411249.09</v>
      </c>
      <c r="E42">
        <v>165751.74999999991</v>
      </c>
      <c r="F42">
        <f>_xlfn.RANK.EQ(EDA_01_PERFORMANCE_SKU[[#This Row],[CA]],EDA_01_PERFORMANCE_SKU[CA],0)</f>
        <v>41</v>
      </c>
      <c r="G42" s="1">
        <f>EDA_01_PERFORMANCE_SKU[[#This Row],[CA]]/SUM(EDA_01_PERFORMANCE_SKU[CA])</f>
        <v>1.7261862590638954E-2</v>
      </c>
      <c r="H42">
        <f>SUMIF(EDA_01_PERFORMANCE_SKU[Rang_CA],"&lt;="&amp;EDA_01_PERFORMANCE_SKU[[#This Row],[Rang_CA]],EDA_01_PERFORMANCE_SKU[CA])</f>
        <v>28804008.419999991</v>
      </c>
      <c r="I42" s="1">
        <f>EDA_01_PERFORMANCE_SKU[[#This Row],[CA_Cumule]]/SUM(EDA_01_PERFORMANCE_SKU[CA])</f>
        <v>0.8617159645827327</v>
      </c>
      <c r="J42" t="str">
        <f>IF(EDA_01_PERFORMANCE_SKU[[#This Row],[%_CA_Cumule]]&lt;20%,"A", IF(EDA_01_PERFORMANCE_SKU[[#This Row],[%_CA_Cumule]]&lt;50%,"B", IF(EDA_01_PERFORMANCE_SKU[[#This Row],[%_CA_Cumule]]&lt;80%,"C","D")))</f>
        <v>D</v>
      </c>
      <c r="K42">
        <f>_xlfn.RANK.EQ(EDA_01_PERFORMANCE_SKU[[#This Row],[Marge_Brute]],EDA_01_PERFORMANCE_SKU[Marge_Brute],0)</f>
        <v>44</v>
      </c>
      <c r="L42">
        <f>ABS(EDA_01_PERFORMANCE_SKU[[#This Row],[Rang_CA]]-EDA_01_PERFORMANCE_SKU[[#This Row],[Rang_Marge]])</f>
        <v>3</v>
      </c>
    </row>
    <row r="43" spans="1:12" x14ac:dyDescent="0.25">
      <c r="A43" t="s">
        <v>46</v>
      </c>
      <c r="B43">
        <v>36347</v>
      </c>
      <c r="C43">
        <v>576849.88</v>
      </c>
      <c r="D43">
        <v>416914.37000000087</v>
      </c>
      <c r="E43">
        <v>159935.51000000007</v>
      </c>
      <c r="F43">
        <f>_xlfn.RANK.EQ(EDA_01_PERFORMANCE_SKU[[#This Row],[CA]],EDA_01_PERFORMANCE_SKU[CA],0)</f>
        <v>42</v>
      </c>
      <c r="G43" s="1">
        <f>EDA_01_PERFORMANCE_SKU[[#This Row],[CA]]/SUM(EDA_01_PERFORMANCE_SKU[CA])</f>
        <v>1.7257346391361519E-2</v>
      </c>
      <c r="H43">
        <f>SUMIF(EDA_01_PERFORMANCE_SKU[Rang_CA],"&lt;="&amp;EDA_01_PERFORMANCE_SKU[[#This Row],[Rang_CA]],EDA_01_PERFORMANCE_SKU[CA])</f>
        <v>29380858.29999999</v>
      </c>
      <c r="I43" s="1">
        <f>EDA_01_PERFORMANCE_SKU[[#This Row],[CA_Cumule]]/SUM(EDA_01_PERFORMANCE_SKU[CA])</f>
        <v>0.87897331097409426</v>
      </c>
      <c r="J43" t="str">
        <f>IF(EDA_01_PERFORMANCE_SKU[[#This Row],[%_CA_Cumule]]&lt;20%,"A", IF(EDA_01_PERFORMANCE_SKU[[#This Row],[%_CA_Cumule]]&lt;50%,"B", IF(EDA_01_PERFORMANCE_SKU[[#This Row],[%_CA_Cumule]]&lt;80%,"C","D")))</f>
        <v>D</v>
      </c>
      <c r="K43">
        <f>_xlfn.RANK.EQ(EDA_01_PERFORMANCE_SKU[[#This Row],[Marge_Brute]],EDA_01_PERFORMANCE_SKU[Marge_Brute],0)</f>
        <v>46</v>
      </c>
      <c r="L43">
        <f>ABS(EDA_01_PERFORMANCE_SKU[[#This Row],[Rang_CA]]-EDA_01_PERFORMANCE_SKU[[#This Row],[Rang_Marge]])</f>
        <v>4</v>
      </c>
    </row>
    <row r="44" spans="1:12" x14ac:dyDescent="0.25">
      <c r="A44" t="s">
        <v>50</v>
      </c>
      <c r="B44">
        <v>36479</v>
      </c>
      <c r="C44">
        <v>553957.45000000077</v>
      </c>
      <c r="D44">
        <v>386800.96000000078</v>
      </c>
      <c r="E44">
        <v>167156.48999999958</v>
      </c>
      <c r="F44">
        <f>_xlfn.RANK.EQ(EDA_01_PERFORMANCE_SKU[[#This Row],[CA]],EDA_01_PERFORMANCE_SKU[CA],0)</f>
        <v>43</v>
      </c>
      <c r="G44" s="1">
        <f>EDA_01_PERFORMANCE_SKU[[#This Row],[CA]]/SUM(EDA_01_PERFORMANCE_SKU[CA])</f>
        <v>1.6572484336349939E-2</v>
      </c>
      <c r="H44">
        <f>SUMIF(EDA_01_PERFORMANCE_SKU[Rang_CA],"&lt;="&amp;EDA_01_PERFORMANCE_SKU[[#This Row],[Rang_CA]],EDA_01_PERFORMANCE_SKU[CA])</f>
        <v>29934815.749999989</v>
      </c>
      <c r="I44" s="1">
        <f>EDA_01_PERFORMANCE_SKU[[#This Row],[CA_Cumule]]/SUM(EDA_01_PERFORMANCE_SKU[CA])</f>
        <v>0.89554579531044409</v>
      </c>
      <c r="J44" t="str">
        <f>IF(EDA_01_PERFORMANCE_SKU[[#This Row],[%_CA_Cumule]]&lt;20%,"A", IF(EDA_01_PERFORMANCE_SKU[[#This Row],[%_CA_Cumule]]&lt;50%,"B", IF(EDA_01_PERFORMANCE_SKU[[#This Row],[%_CA_Cumule]]&lt;80%,"C","D")))</f>
        <v>D</v>
      </c>
      <c r="K44">
        <f>_xlfn.RANK.EQ(EDA_01_PERFORMANCE_SKU[[#This Row],[Marge_Brute]],EDA_01_PERFORMANCE_SKU[Marge_Brute],0)</f>
        <v>42</v>
      </c>
      <c r="L44">
        <f>ABS(EDA_01_PERFORMANCE_SKU[[#This Row],[Rang_CA]]-EDA_01_PERFORMANCE_SKU[[#This Row],[Rang_Marge]])</f>
        <v>1</v>
      </c>
    </row>
    <row r="45" spans="1:12" x14ac:dyDescent="0.25">
      <c r="A45" t="s">
        <v>43</v>
      </c>
      <c r="B45">
        <v>36637</v>
      </c>
      <c r="C45">
        <v>544829.42999999924</v>
      </c>
      <c r="D45">
        <v>372790.39999999967</v>
      </c>
      <c r="E45">
        <v>172039.02999999994</v>
      </c>
      <c r="F45">
        <f>_xlfn.RANK.EQ(EDA_01_PERFORMANCE_SKU[[#This Row],[CA]],EDA_01_PERFORMANCE_SKU[CA],0)</f>
        <v>44</v>
      </c>
      <c r="G45" s="1">
        <f>EDA_01_PERFORMANCE_SKU[[#This Row],[CA]]/SUM(EDA_01_PERFORMANCE_SKU[CA])</f>
        <v>1.629940565770429E-2</v>
      </c>
      <c r="H45">
        <f>SUMIF(EDA_01_PERFORMANCE_SKU[Rang_CA],"&lt;="&amp;EDA_01_PERFORMANCE_SKU[[#This Row],[Rang_CA]],EDA_01_PERFORMANCE_SKU[CA])</f>
        <v>30479645.179999989</v>
      </c>
      <c r="I45" s="1">
        <f>EDA_01_PERFORMANCE_SKU[[#This Row],[CA_Cumule]]/SUM(EDA_01_PERFORMANCE_SKU[CA])</f>
        <v>0.91184520096814847</v>
      </c>
      <c r="J45" t="str">
        <f>IF(EDA_01_PERFORMANCE_SKU[[#This Row],[%_CA_Cumule]]&lt;20%,"A", IF(EDA_01_PERFORMANCE_SKU[[#This Row],[%_CA_Cumule]]&lt;50%,"B", IF(EDA_01_PERFORMANCE_SKU[[#This Row],[%_CA_Cumule]]&lt;80%,"C","D")))</f>
        <v>D</v>
      </c>
      <c r="K45">
        <f>_xlfn.RANK.EQ(EDA_01_PERFORMANCE_SKU[[#This Row],[Marge_Brute]],EDA_01_PERFORMANCE_SKU[Marge_Brute],0)</f>
        <v>41</v>
      </c>
      <c r="L45">
        <f>ABS(EDA_01_PERFORMANCE_SKU[[#This Row],[Rang_CA]]-EDA_01_PERFORMANCE_SKU[[#This Row],[Rang_Marge]])</f>
        <v>3</v>
      </c>
    </row>
    <row r="46" spans="1:12" x14ac:dyDescent="0.25">
      <c r="A46" t="s">
        <v>48</v>
      </c>
      <c r="B46">
        <v>36912</v>
      </c>
      <c r="C46">
        <v>538811.70999999985</v>
      </c>
      <c r="D46">
        <v>354425.24999999977</v>
      </c>
      <c r="E46">
        <v>184386.45999999979</v>
      </c>
      <c r="F46">
        <f>_xlfn.RANK.EQ(EDA_01_PERFORMANCE_SKU[[#This Row],[CA]],EDA_01_PERFORMANCE_SKU[CA],0)</f>
        <v>45</v>
      </c>
      <c r="G46" s="1">
        <f>EDA_01_PERFORMANCE_SKU[[#This Row],[CA]]/SUM(EDA_01_PERFORMANCE_SKU[CA])</f>
        <v>1.6119376360435103E-2</v>
      </c>
      <c r="H46">
        <f>SUMIF(EDA_01_PERFORMANCE_SKU[Rang_CA],"&lt;="&amp;EDA_01_PERFORMANCE_SKU[[#This Row],[Rang_CA]],EDA_01_PERFORMANCE_SKU[CA])</f>
        <v>31018456.889999989</v>
      </c>
      <c r="I46" s="1">
        <f>EDA_01_PERFORMANCE_SKU[[#This Row],[CA_Cumule]]/SUM(EDA_01_PERFORMANCE_SKU[CA])</f>
        <v>0.92796457732858362</v>
      </c>
      <c r="J46" t="str">
        <f>IF(EDA_01_PERFORMANCE_SKU[[#This Row],[%_CA_Cumule]]&lt;20%,"A", IF(EDA_01_PERFORMANCE_SKU[[#This Row],[%_CA_Cumule]]&lt;50%,"B", IF(EDA_01_PERFORMANCE_SKU[[#This Row],[%_CA_Cumule]]&lt;80%,"C","D")))</f>
        <v>D</v>
      </c>
      <c r="K46">
        <f>_xlfn.RANK.EQ(EDA_01_PERFORMANCE_SKU[[#This Row],[Marge_Brute]],EDA_01_PERFORMANCE_SKU[Marge_Brute],0)</f>
        <v>38</v>
      </c>
      <c r="L46">
        <f>ABS(EDA_01_PERFORMANCE_SKU[[#This Row],[Rang_CA]]-EDA_01_PERFORMANCE_SKU[[#This Row],[Rang_Marge]])</f>
        <v>7</v>
      </c>
    </row>
    <row r="47" spans="1:12" x14ac:dyDescent="0.25">
      <c r="A47" t="s">
        <v>42</v>
      </c>
      <c r="B47">
        <v>36532</v>
      </c>
      <c r="C47">
        <v>525021.07999999996</v>
      </c>
      <c r="D47">
        <v>348936.62000000046</v>
      </c>
      <c r="E47">
        <v>176084.45999999982</v>
      </c>
      <c r="F47">
        <f>_xlfn.RANK.EQ(EDA_01_PERFORMANCE_SKU[[#This Row],[CA]],EDA_01_PERFORMANCE_SKU[CA],0)</f>
        <v>46</v>
      </c>
      <c r="G47" s="1">
        <f>EDA_01_PERFORMANCE_SKU[[#This Row],[CA]]/SUM(EDA_01_PERFORMANCE_SKU[CA])</f>
        <v>1.5706808572668381E-2</v>
      </c>
      <c r="H47">
        <f>SUMIF(EDA_01_PERFORMANCE_SKU[Rang_CA],"&lt;="&amp;EDA_01_PERFORMANCE_SKU[[#This Row],[Rang_CA]],EDA_01_PERFORMANCE_SKU[CA])</f>
        <v>31543477.969999988</v>
      </c>
      <c r="I47" s="1">
        <f>EDA_01_PERFORMANCE_SKU[[#This Row],[CA_Cumule]]/SUM(EDA_01_PERFORMANCE_SKU[CA])</f>
        <v>0.94367138590125188</v>
      </c>
      <c r="J47" t="str">
        <f>IF(EDA_01_PERFORMANCE_SKU[[#This Row],[%_CA_Cumule]]&lt;20%,"A", IF(EDA_01_PERFORMANCE_SKU[[#This Row],[%_CA_Cumule]]&lt;50%,"B", IF(EDA_01_PERFORMANCE_SKU[[#This Row],[%_CA_Cumule]]&lt;80%,"C","D")))</f>
        <v>D</v>
      </c>
      <c r="K47">
        <f>_xlfn.RANK.EQ(EDA_01_PERFORMANCE_SKU[[#This Row],[Marge_Brute]],EDA_01_PERFORMANCE_SKU[Marge_Brute],0)</f>
        <v>39</v>
      </c>
      <c r="L47">
        <f>ABS(EDA_01_PERFORMANCE_SKU[[#This Row],[Rang_CA]]-EDA_01_PERFORMANCE_SKU[[#This Row],[Rang_Marge]])</f>
        <v>7</v>
      </c>
    </row>
    <row r="48" spans="1:12" x14ac:dyDescent="0.25">
      <c r="A48" t="s">
        <v>26</v>
      </c>
      <c r="B48">
        <v>36590</v>
      </c>
      <c r="C48">
        <v>504606.7899999987</v>
      </c>
      <c r="D48">
        <v>339268.12999999983</v>
      </c>
      <c r="E48">
        <v>165338.65999999942</v>
      </c>
      <c r="F48">
        <f>_xlfn.RANK.EQ(EDA_01_PERFORMANCE_SKU[[#This Row],[CA]],EDA_01_PERFORMANCE_SKU[CA],0)</f>
        <v>47</v>
      </c>
      <c r="G48" s="1">
        <f>EDA_01_PERFORMANCE_SKU[[#This Row],[CA]]/SUM(EDA_01_PERFORMANCE_SKU[CA])</f>
        <v>1.5096083865810975E-2</v>
      </c>
      <c r="H48">
        <f>SUMIF(EDA_01_PERFORMANCE_SKU[Rang_CA],"&lt;="&amp;EDA_01_PERFORMANCE_SKU[[#This Row],[Rang_CA]],EDA_01_PERFORMANCE_SKU[CA])</f>
        <v>32048084.759999987</v>
      </c>
      <c r="I48" s="1">
        <f>EDA_01_PERFORMANCE_SKU[[#This Row],[CA_Cumule]]/SUM(EDA_01_PERFORMANCE_SKU[CA])</f>
        <v>0.95876746976706284</v>
      </c>
      <c r="J48" t="str">
        <f>IF(EDA_01_PERFORMANCE_SKU[[#This Row],[%_CA_Cumule]]&lt;20%,"A", IF(EDA_01_PERFORMANCE_SKU[[#This Row],[%_CA_Cumule]]&lt;50%,"B", IF(EDA_01_PERFORMANCE_SKU[[#This Row],[%_CA_Cumule]]&lt;80%,"C","D")))</f>
        <v>D</v>
      </c>
      <c r="K48">
        <f>_xlfn.RANK.EQ(EDA_01_PERFORMANCE_SKU[[#This Row],[Marge_Brute]],EDA_01_PERFORMANCE_SKU[Marge_Brute],0)</f>
        <v>45</v>
      </c>
      <c r="L48">
        <f>ABS(EDA_01_PERFORMANCE_SKU[[#This Row],[Rang_CA]]-EDA_01_PERFORMANCE_SKU[[#This Row],[Rang_Marge]])</f>
        <v>2</v>
      </c>
    </row>
    <row r="49" spans="1:12" x14ac:dyDescent="0.25">
      <c r="A49" t="s">
        <v>15</v>
      </c>
      <c r="B49">
        <v>36585</v>
      </c>
      <c r="C49">
        <v>494097.50000000087</v>
      </c>
      <c r="D49">
        <v>366394.49000000011</v>
      </c>
      <c r="E49">
        <v>127703.00999999981</v>
      </c>
      <c r="F49">
        <f>_xlfn.RANK.EQ(EDA_01_PERFORMANCE_SKU[[#This Row],[CA]],EDA_01_PERFORMANCE_SKU[CA],0)</f>
        <v>48</v>
      </c>
      <c r="G49" s="1">
        <f>EDA_01_PERFORMANCE_SKU[[#This Row],[CA]]/SUM(EDA_01_PERFORMANCE_SKU[CA])</f>
        <v>1.4781682382608389E-2</v>
      </c>
      <c r="H49">
        <f>SUMIF(EDA_01_PERFORMANCE_SKU[Rang_CA],"&lt;="&amp;EDA_01_PERFORMANCE_SKU[[#This Row],[Rang_CA]],EDA_01_PERFORMANCE_SKU[CA])</f>
        <v>32542182.259999987</v>
      </c>
      <c r="I49" s="1">
        <f>EDA_01_PERFORMANCE_SKU[[#This Row],[CA_Cumule]]/SUM(EDA_01_PERFORMANCE_SKU[CA])</f>
        <v>0.97354915214967119</v>
      </c>
      <c r="J49" t="str">
        <f>IF(EDA_01_PERFORMANCE_SKU[[#This Row],[%_CA_Cumule]]&lt;20%,"A", IF(EDA_01_PERFORMANCE_SKU[[#This Row],[%_CA_Cumule]]&lt;50%,"B", IF(EDA_01_PERFORMANCE_SKU[[#This Row],[%_CA_Cumule]]&lt;80%,"C","D")))</f>
        <v>D</v>
      </c>
      <c r="K49">
        <f>_xlfn.RANK.EQ(EDA_01_PERFORMANCE_SKU[[#This Row],[Marge_Brute]],EDA_01_PERFORMANCE_SKU[Marge_Brute],0)</f>
        <v>50</v>
      </c>
      <c r="L49">
        <f>ABS(EDA_01_PERFORMANCE_SKU[[#This Row],[Rang_CA]]-EDA_01_PERFORMANCE_SKU[[#This Row],[Rang_Marge]])</f>
        <v>2</v>
      </c>
    </row>
    <row r="50" spans="1:12" x14ac:dyDescent="0.25">
      <c r="A50" t="s">
        <v>35</v>
      </c>
      <c r="B50">
        <v>36537</v>
      </c>
      <c r="C50">
        <v>453535.20999999996</v>
      </c>
      <c r="D50">
        <v>287617.32000000007</v>
      </c>
      <c r="E50">
        <v>165917.89000000077</v>
      </c>
      <c r="F50">
        <f>_xlfn.RANK.EQ(EDA_01_PERFORMANCE_SKU[[#This Row],[CA]],EDA_01_PERFORMANCE_SKU[CA],0)</f>
        <v>49</v>
      </c>
      <c r="G50" s="1">
        <f>EDA_01_PERFORMANCE_SKU[[#This Row],[CA]]/SUM(EDA_01_PERFORMANCE_SKU[CA])</f>
        <v>1.3568199441506147E-2</v>
      </c>
      <c r="H50">
        <f>SUMIF(EDA_01_PERFORMANCE_SKU[Rang_CA],"&lt;="&amp;EDA_01_PERFORMANCE_SKU[[#This Row],[Rang_CA]],EDA_01_PERFORMANCE_SKU[CA])</f>
        <v>32995717.469999988</v>
      </c>
      <c r="I50" s="1">
        <f>EDA_01_PERFORMANCE_SKU[[#This Row],[CA_Cumule]]/SUM(EDA_01_PERFORMANCE_SKU[CA])</f>
        <v>0.98711735159117742</v>
      </c>
      <c r="J50" t="str">
        <f>IF(EDA_01_PERFORMANCE_SKU[[#This Row],[%_CA_Cumule]]&lt;20%,"A", IF(EDA_01_PERFORMANCE_SKU[[#This Row],[%_CA_Cumule]]&lt;50%,"B", IF(EDA_01_PERFORMANCE_SKU[[#This Row],[%_CA_Cumule]]&lt;80%,"C","D")))</f>
        <v>D</v>
      </c>
      <c r="K50">
        <f>_xlfn.RANK.EQ(EDA_01_PERFORMANCE_SKU[[#This Row],[Marge_Brute]],EDA_01_PERFORMANCE_SKU[Marge_Brute],0)</f>
        <v>43</v>
      </c>
      <c r="L50">
        <f>ABS(EDA_01_PERFORMANCE_SKU[[#This Row],[Rang_CA]]-EDA_01_PERFORMANCE_SKU[[#This Row],[Rang_Marge]])</f>
        <v>6</v>
      </c>
    </row>
    <row r="51" spans="1:12" x14ac:dyDescent="0.25">
      <c r="A51" t="s">
        <v>45</v>
      </c>
      <c r="B51">
        <v>36683</v>
      </c>
      <c r="C51">
        <v>430619.75000000012</v>
      </c>
      <c r="D51">
        <v>276995.3600000001</v>
      </c>
      <c r="E51">
        <v>153624.39000000004</v>
      </c>
      <c r="F51">
        <f>_xlfn.RANK.EQ(EDA_01_PERFORMANCE_SKU[[#This Row],[CA]],EDA_01_PERFORMANCE_SKU[CA],0)</f>
        <v>50</v>
      </c>
      <c r="G51" s="1">
        <f>EDA_01_PERFORMANCE_SKU[[#This Row],[CA]]/SUM(EDA_01_PERFORMANCE_SKU[CA])</f>
        <v>1.2882648408822589E-2</v>
      </c>
      <c r="H51">
        <f>SUMIF(EDA_01_PERFORMANCE_SKU[Rang_CA],"&lt;="&amp;EDA_01_PERFORMANCE_SKU[[#This Row],[Rang_CA]],EDA_01_PERFORMANCE_SKU[CA])</f>
        <v>33426337.219999988</v>
      </c>
      <c r="I51" s="1">
        <f>EDA_01_PERFORMANCE_SKU[[#This Row],[CA_Cumule]]/SUM(EDA_01_PERFORMANCE_SKU[CA])</f>
        <v>1</v>
      </c>
      <c r="J51" t="str">
        <f>IF(EDA_01_PERFORMANCE_SKU[[#This Row],[%_CA_Cumule]]&lt;20%,"A", IF(EDA_01_PERFORMANCE_SKU[[#This Row],[%_CA_Cumule]]&lt;50%,"B", IF(EDA_01_PERFORMANCE_SKU[[#This Row],[%_CA_Cumule]]&lt;80%,"C","D")))</f>
        <v>D</v>
      </c>
      <c r="K51">
        <f>_xlfn.RANK.EQ(EDA_01_PERFORMANCE_SKU[[#This Row],[Marge_Brute]],EDA_01_PERFORMANCE_SKU[Marge_Brute],0)</f>
        <v>48</v>
      </c>
      <c r="L51">
        <f>ABS(EDA_01_PERFORMANCE_SKU[[#This Row],[Rang_CA]]-EDA_01_PERFORMANCE_SKU[[#This Row],[Rang_Marge]])</f>
        <v>2</v>
      </c>
    </row>
  </sheetData>
  <mergeCells count="1">
    <mergeCell ref="N24:R29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B09BF2-20B3-47FA-B602-5880AB5B43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EDA_01_PERFORMANCE_SKU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OUSMANE</dc:creator>
  <cp:lastModifiedBy>Ousmane DEMBELE</cp:lastModifiedBy>
  <dcterms:created xsi:type="dcterms:W3CDTF">2026-09-02T15:02:56Z</dcterms:created>
  <dcterms:modified xsi:type="dcterms:W3CDTF">2026-10-16T22:06:04Z</dcterms:modified>
</cp:coreProperties>
</file>